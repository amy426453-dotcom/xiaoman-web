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armen/Documents/新/outputs/2026-08-08-xiaoman-assets/"/>
    </mc:Choice>
  </mc:AlternateContent>
  <xr:revisionPtr revIDLastSave="0" documentId="13_ncr:1_{3DF9C11E-E373-3A42-B9AD-D37E76E583E7}" xr6:coauthVersionLast="47" xr6:coauthVersionMax="47" xr10:uidLastSave="{00000000-0000-0000-0000-000000000000}"/>
  <bookViews>
    <workbookView minimized="1" xWindow="0" yWindow="660" windowWidth="29400" windowHeight="16820" xr2:uid="{00000000-000D-0000-FFFF-FFFF00000000}"/>
  </bookViews>
  <sheets>
    <sheet name="素材清单" sheetId="1" r:id="rId1"/>
    <sheet name="填写说明" sheetId="2" r:id="rId2"/>
  </sheets>
  <definedNames>
    <definedName name="_xlnm._FilterDatabase" localSheetId="0" hidden="1">素材清单!$A$5:$J$119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G2" i="1"/>
  <c r="C2" i="1"/>
</calcChain>
</file>

<file path=xl/sharedStrings.xml><?xml version="1.0" encoding="utf-8"?>
<sst xmlns="http://schemas.openxmlformats.org/spreadsheetml/2006/main" count="1067" uniqueCount="398">
  <si>
    <t>小满的纸箱里，装着整个夏天｜桌面端素材清单</t>
  </si>
  <si>
    <t>总素材数</t>
  </si>
  <si>
    <t>未完成素材</t>
  </si>
  <si>
    <t>已完成素材</t>
  </si>
  <si>
    <t>说明</t>
  </si>
  <si>
    <t>状态列可下拉选择：未准备 / 准备中 / 已完成</t>
  </si>
  <si>
    <t>类别</t>
  </si>
  <si>
    <t>交付类型</t>
  </si>
  <si>
    <t>素材名称</t>
  </si>
  <si>
    <t>文件名或标识</t>
  </si>
  <si>
    <t>具体制作要求</t>
  </si>
  <si>
    <t>尺寸 / 格式</t>
  </si>
  <si>
    <t>优先级</t>
  </si>
  <si>
    <t>状态</t>
  </si>
  <si>
    <t>备注</t>
  </si>
  <si>
    <t>第一批</t>
  </si>
  <si>
    <t>场景</t>
  </si>
  <si>
    <t>图片</t>
  </si>
  <si>
    <t>儿童房背景</t>
  </si>
  <si>
    <t>傍晚暖橙色儿童房；白墙、海报、奖状、书桌、床边、窗户和封闭纸箱清晰可见；互动小物件不画死在前景。</t>
  </si>
  <si>
    <t>1920×1080 / WebP</t>
  </si>
  <si>
    <t>高</t>
  </si>
  <si>
    <t>未准备</t>
  </si>
  <si>
    <t>完整合成示意</t>
  </si>
  <si>
    <t>完整标明小满、五个区域、物件大小、坐标和遮挡关系，仅供开发对位。</t>
  </si>
  <si>
    <t>不直接显示</t>
  </si>
  <si>
    <t>身高刻度默认</t>
  </si>
  <si>
    <t>透明 PNG/WebP</t>
  </si>
  <si>
    <t>中</t>
  </si>
  <si>
    <t>身高刻度高亮</t>
  </si>
  <si>
    <t>低</t>
  </si>
  <si>
    <t>可由网页实现</t>
  </si>
  <si>
    <t>角色</t>
  </si>
  <si>
    <t>小满站立</t>
  </si>
  <si>
    <t>1000×1000 / 透明 PNG/WebP</t>
  </si>
  <si>
    <t>小满走路第1帧</t>
  </si>
  <si>
    <t>四帧连续步行动作；四分之三侧面；双脚落点、画布尺寸和角色比例一致。</t>
  </si>
  <si>
    <t>小满走路第2帧</t>
  </si>
  <si>
    <t>小满走路第3帧</t>
  </si>
  <si>
    <t>小满走路第4帧</t>
  </si>
  <si>
    <t>区域默认</t>
  </si>
  <si>
    <t>旧书包关闭</t>
  </si>
  <si>
    <t>旧电脑关闭</t>
  </si>
  <si>
    <t>搬家纸箱封闭</t>
  </si>
  <si>
    <t>UI</t>
  </si>
  <si>
    <t>书包进度图标</t>
  </si>
  <si>
    <t>透明线稿；尺寸比例统一；未完成降低透明度，完成由网页添加颜色和光晕。</t>
  </si>
  <si>
    <t>电脑进度图标</t>
  </si>
  <si>
    <t>抽屉进度图标</t>
  </si>
  <si>
    <t>MP3进度图标</t>
  </si>
  <si>
    <t>纸箱进度图标</t>
  </si>
  <si>
    <t>字体</t>
  </si>
  <si>
    <t>小满手写字体</t>
  </si>
  <si>
    <t>覆盖常用中文、数字和标点；用于动态标题、旁白、纸条、档案标签和照片背面文字。</t>
  </si>
  <si>
    <t>WOFF2</t>
  </si>
  <si>
    <t>需确认网页授权</t>
  </si>
  <si>
    <t>第二批</t>
  </si>
  <si>
    <t>小满整理书包</t>
  </si>
  <si>
    <t>蹲下或弯腰，双手靠近书包，表现翻找物品。</t>
  </si>
  <si>
    <t>小满电脑前</t>
  </si>
  <si>
    <t>小满拉抽屉</t>
  </si>
  <si>
    <t>蹲在抽屉旁，一只手靠近拉手，表现用力拉开。</t>
  </si>
  <si>
    <t>小满听 MP3</t>
  </si>
  <si>
    <t>戴白色耳机，身体放松，可轻微晃腿或闭眼。</t>
  </si>
  <si>
    <t>小满纸箱旁</t>
  </si>
  <si>
    <t>跪坐或蹲在纸箱旁，双手靠近箱盖或箱内物件。</t>
  </si>
  <si>
    <t>小满门口回望</t>
  </si>
  <si>
    <t>站在门口回头看整理后的房间，用于无台词结尾镜头。</t>
  </si>
  <si>
    <t>第三批</t>
  </si>
  <si>
    <t>书包</t>
  </si>
  <si>
    <t>旧书包打开</t>
  </si>
  <si>
    <t>拉链完全打开，内部留出七件物品叠放空间。</t>
  </si>
  <si>
    <t>旧书包完成</t>
  </si>
  <si>
    <t>红领巾展开</t>
  </si>
  <si>
    <t>红色布料、边缘轻微磨损，适合拖拽和折叠。</t>
  </si>
  <si>
    <t>红领巾叠好</t>
  </si>
  <si>
    <t>折叠整齐，与展开图保持真实比例。</t>
  </si>
  <si>
    <t>校牌正面</t>
  </si>
  <si>
    <t>可读“小满 / 六一班”；照片为原创角色。</t>
  </si>
  <si>
    <t>校牌背面</t>
  </si>
  <si>
    <t>大队长章</t>
  </si>
  <si>
    <t>红黄配色、金属或塑料反光，适合长按发光。</t>
  </si>
  <si>
    <t>密码本关闭</t>
  </si>
  <si>
    <t>带四位数字密码锁；封面有使用痕迹但不放死正文。</t>
  </si>
  <si>
    <t>密码本打开</t>
  </si>
  <si>
    <t>有手写页、涂鸦和空白文字区域；正文动态排版。</t>
  </si>
  <si>
    <t>喜羊羊铅笔盒关闭</t>
  </si>
  <si>
    <t>蓝色系卡通铅笔盒，盒盖可弹开；公开版需确认授权或改原创。</t>
  </si>
  <si>
    <t>喜羊羊铅笔盒打开</t>
  </si>
  <si>
    <t>可见铅笔、橡皮、小尺子和课程表，小物件可网页叠加。</t>
  </si>
  <si>
    <t>新华字典关闭</t>
  </si>
  <si>
    <t>封面磨损、边角卷起，书名清晰。</t>
  </si>
  <si>
    <t>新华字典打开</t>
  </si>
  <si>
    <t>翻到“朋友”相关释义，页角有折痕，具体文字动态处理。</t>
  </si>
  <si>
    <t>跳绳展开</t>
  </si>
  <si>
    <t>跳绳卷起</t>
  </si>
  <si>
    <t>绳身自然卷起，适合放回书包。</t>
  </si>
  <si>
    <t>同桌纸条</t>
  </si>
  <si>
    <t>只提供纸张、折痕和污渍；生日密码和正文动态排版。</t>
  </si>
  <si>
    <t>第四批</t>
  </si>
  <si>
    <t>电脑</t>
  </si>
  <si>
    <t>旧电脑开机</t>
  </si>
  <si>
    <t>屏幕亮起但不嵌入 7k7k、QQ 或农场截图；屏幕区域留作 HTML/CSS 界面。</t>
  </si>
  <si>
    <t>鼠标</t>
  </si>
  <si>
    <t>旧式有线鼠标，线缆可单独呈现点击移动。</t>
  </si>
  <si>
    <t>旧电脑完成</t>
  </si>
  <si>
    <t>可选；显示器变暗、桌面图标变灰；也可网页实现。</t>
  </si>
  <si>
    <t>网页制作项</t>
  </si>
  <si>
    <t>7k7k 连连看界面</t>
  </si>
  <si>
    <t>网页动态组件</t>
  </si>
  <si>
    <t>原创 4×4 棋盘、8 对卡片、一次提示高亮和成功反馈；不复制官方页面。</t>
  </si>
  <si>
    <t>HTML/CSS/JS</t>
  </si>
  <si>
    <t>QQ 农场界面</t>
  </si>
  <si>
    <t>原创农场、成熟作物、杂草、收菜动作和同桌留言；不复制官方页面。</t>
  </si>
  <si>
    <t>第五批</t>
  </si>
  <si>
    <t>抽屉</t>
  </si>
  <si>
    <t>抽屉打开</t>
  </si>
  <si>
    <t>抽屉拉开，内部有多层摆放空间和自然景深。</t>
  </si>
  <si>
    <t>抽屉完成</t>
  </si>
  <si>
    <t>可选；展示六件物品已查看、照片一角露出。</t>
  </si>
  <si>
    <t>水晶糖纸</t>
  </si>
  <si>
    <t>东南西北折起</t>
  </si>
  <si>
    <t>四角折叠完整，纸张略旧，支持点击展开。</t>
  </si>
  <si>
    <t>东南西北展开</t>
  </si>
  <si>
    <t>展开后内部留白，方向、数字和文字由网页显示。</t>
  </si>
  <si>
    <t>比巴卜泡泡糖</t>
  </si>
  <si>
    <t>空盒或糖纸，颜色鲜明但有轻微磨损，晃动时有轻响。</t>
  </si>
  <si>
    <t>爆笑校园封面</t>
  </si>
  <si>
    <t>原创拟态封面，不复制官方封面；书角磨损、带涂鸦。</t>
  </si>
  <si>
    <t>爆笑校园内页</t>
  </si>
  <si>
    <t>原创校园漫画内页，不使用原作角色和原文。</t>
  </si>
  <si>
    <t>陀螺</t>
  </si>
  <si>
    <t>男孩收藏，有轻微划痕，适合旋转和停转。</t>
  </si>
  <si>
    <t>玻璃弹珠</t>
  </si>
  <si>
    <t>透明玻璃质感，内部蓝绿色花纹，适合滚动和高光。</t>
  </si>
  <si>
    <t>全班合照一角</t>
  </si>
  <si>
    <t>只露边角和局部颜色，不能提前看到完整人物。</t>
  </si>
  <si>
    <t>合照背面朝上</t>
  </si>
  <si>
    <t>正面朝下的照片纸张和边缘；背面文字动态排版。</t>
  </si>
  <si>
    <t>第六批</t>
  </si>
  <si>
    <t>MP3</t>
  </si>
  <si>
    <t>MP3播放</t>
  </si>
  <si>
    <t>LCD 背光亮起，歌名和进度由网页动态显示。</t>
  </si>
  <si>
    <t>MP3完成</t>
  </si>
  <si>
    <t>可选；播放结束后屏幕转暗、保留一点余光。</t>
  </si>
  <si>
    <t>耳机缠绕</t>
  </si>
  <si>
    <t>白色有线耳机，线缆自然缠绕，适合点击解开。</t>
  </si>
  <si>
    <t>耳机解开</t>
  </si>
  <si>
    <t>白色耳机线展开，线条清楚，适合戴上动作。</t>
  </si>
  <si>
    <t>第七批</t>
  </si>
  <si>
    <t>纸箱</t>
  </si>
  <si>
    <t>纸箱解锁</t>
  </si>
  <si>
    <t>X 型胶带裂开或移除，表示四个区域已完成。</t>
  </si>
  <si>
    <t>纸箱打开</t>
  </si>
  <si>
    <t>同时摆放通知、钥匙、书包、校服、照片，并保留个人物件空位。</t>
  </si>
  <si>
    <t>纸箱合上</t>
  </si>
  <si>
    <t>箱盖合上，用于结尾回望镜头，不遮挡角色动作。</t>
  </si>
  <si>
    <t>实验中学报到通知</t>
  </si>
  <si>
    <t>泛黄纸张、折痕和印章区域；学校名、日期和时间动态排版。</t>
  </si>
  <si>
    <t>新家钥匙</t>
  </si>
  <si>
    <t>普通钥匙加挂件；开发版可用长江七号，公开版建议原创绿色外星挂件。</t>
  </si>
  <si>
    <t>黑色双肩书包</t>
  </si>
  <si>
    <t>普通黑色双肩包，略显宽大、保持崭新。</t>
  </si>
  <si>
    <t>黑色书包拉链微开</t>
  </si>
  <si>
    <t>可选；拉链开一小段，便于放大查看内部。</t>
  </si>
  <si>
    <t>实验中学校服折叠</t>
  </si>
  <si>
    <t>蓝白长袖外套和长裤，整齐折叠，露出衣领或蓝色侧条纹。</t>
  </si>
  <si>
    <t>实验中学校服展开</t>
  </si>
  <si>
    <t>可选；露出实验中学布标和内侧姓名贴。</t>
  </si>
  <si>
    <t>全班合照正面</t>
  </si>
  <si>
    <t>全班合照背面</t>
  </si>
  <si>
    <t>有折痕的照片背面；告别文字由网页动态排版。</t>
  </si>
  <si>
    <t>第九批</t>
  </si>
  <si>
    <t>UI/AI</t>
  </si>
  <si>
    <t>纸条底图</t>
  </si>
  <si>
    <t>可选；旧纸条纹理和折痕，不含固定文字。</t>
  </si>
  <si>
    <t>PNG/WebP</t>
  </si>
  <si>
    <t>手写记忆贴纸</t>
  </si>
  <si>
    <t>可选；小尺寸便签底图，文字由网页写入。</t>
  </si>
  <si>
    <t>档案标签</t>
  </si>
  <si>
    <t>可选；半透明博物馆标签底图，编号和说明由网页写入。</t>
  </si>
  <si>
    <t>AI个人物件占位</t>
  </si>
  <si>
    <t>可选；开发期透明单件占位图，最终替换为 AI 1024×1024 结果。</t>
  </si>
  <si>
    <t>第八批</t>
  </si>
  <si>
    <t>音频</t>
  </si>
  <si>
    <t>风扇循环</t>
  </si>
  <si>
    <t>8–15 秒可无缝循环；低频稳定，不盖住文字提示。</t>
  </si>
  <si>
    <t>WAV/高质量 MP3</t>
  </si>
  <si>
    <t>蝉鸣循环</t>
  </si>
  <si>
    <t>15–30 秒可无缝循环；夏夜氛围，不尖锐。</t>
  </si>
  <si>
    <t>远处电视循环</t>
  </si>
  <si>
    <t>15–30 秒循环；模糊声场，不出现可识别台词。</t>
  </si>
  <si>
    <t>楼下孩子声循环</t>
  </si>
  <si>
    <t>15–30 秒循环；远处低音量，不可辨认具体对话。</t>
  </si>
  <si>
    <t>房间 BGM</t>
  </si>
  <si>
    <t>90–120 秒无缝循环；轻快卡通游戏感；原创或已授权；无歌词。</t>
  </si>
  <si>
    <t>纸箱钢琴 BGM</t>
  </si>
  <si>
    <t>30–60 秒可循环；比主 BGM 安静，适合告别段落。</t>
  </si>
  <si>
    <t>《童年》授权音频</t>
  </si>
  <si>
    <t>用户提供且取得网页播放授权；附授权说明和允许播放时长。</t>
  </si>
  <si>
    <t>UI点击</t>
  </si>
  <si>
    <t>短促、轻巧、可重复播放。</t>
  </si>
  <si>
    <t>纸张摩擦</t>
  </si>
  <si>
    <t>真实纸张摩擦，尾音短。</t>
  </si>
  <si>
    <t>纸箱轻晃</t>
  </si>
  <si>
    <t>低音量纸箱和内部物件轻碰。</t>
  </si>
  <si>
    <t>胶带撕裂</t>
  </si>
  <si>
    <t>纸胶带裂开声，用于纸箱解锁。</t>
  </si>
  <si>
    <t>箱盖打开和纸板摩擦声。</t>
  </si>
  <si>
    <t>轻柔纸箱合上声，用于结尾。</t>
  </si>
  <si>
    <t>书包拉链</t>
  </si>
  <si>
    <t>旧拉链略卡顿但不刺耳。</t>
  </si>
  <si>
    <t>物件落下</t>
  </si>
  <si>
    <t>文具或小物件落入书包的柔和碰撞。</t>
  </si>
  <si>
    <t>密码按钮</t>
  </si>
  <si>
    <t>密码错误</t>
  </si>
  <si>
    <t>轻微锁扣卡住声，配合密码本抖动。</t>
  </si>
  <si>
    <t>电脑开机</t>
  </si>
  <si>
    <t>旧电脑开机提示声，不复制具体系统音。</t>
  </si>
  <si>
    <t>鼠标点击</t>
  </si>
  <si>
    <t>旧式鼠标按键声。</t>
  </si>
  <si>
    <t>连连看成功</t>
  </si>
  <si>
    <t>轻快配对成功反馈。</t>
  </si>
  <si>
    <t>连连看提示</t>
  </si>
  <si>
    <t>一次提示高亮时的轻声提示。</t>
  </si>
  <si>
    <t>农场收菜</t>
  </si>
  <si>
    <t>作物收取的轻快声音。</t>
  </si>
  <si>
    <t>农场除草</t>
  </si>
  <si>
    <t>除草的细碎动作声。</t>
  </si>
  <si>
    <t>抽屉拉开</t>
  </si>
  <si>
    <t>木质抽屉摩擦声，带轻微吱呀。</t>
  </si>
  <si>
    <t>糖纸摩擦</t>
  </si>
  <si>
    <t>透明糖纸被拿起和对光移动的细碎声。</t>
  </si>
  <si>
    <t>折纸展开</t>
  </si>
  <si>
    <t>东南西北展开的纸张声。</t>
  </si>
  <si>
    <t>漫画翻页</t>
  </si>
  <si>
    <t>旧漫画翻页声。</t>
  </si>
  <si>
    <t>陀螺旋转</t>
  </si>
  <si>
    <t>陀螺启动、旋转和停止的短音效。</t>
  </si>
  <si>
    <t>弹珠滚动</t>
  </si>
  <si>
    <t>玻璃弹珠滚动和停下的声音。</t>
  </si>
  <si>
    <t>MP3按钮</t>
  </si>
  <si>
    <t>播放器按钮按下声。</t>
  </si>
  <si>
    <t>耳机线被解开的轻微摩擦声。</t>
  </si>
  <si>
    <t>钥匙碰撞</t>
  </si>
  <si>
    <t>钥匙和挂件轻轻碰撞。</t>
  </si>
  <si>
    <t>校服展开</t>
  </si>
  <si>
    <t>衣物展开的布料声。</t>
  </si>
  <si>
    <t>照片翻面</t>
  </si>
  <si>
    <t>照片翻面和纸张轻响。</t>
  </si>
  <si>
    <t>个人物件落入纸箱</t>
  </si>
  <si>
    <t>访客生成物件落入纸箱的轻微碰撞声。</t>
  </si>
  <si>
    <t>填写说明</t>
  </si>
  <si>
    <t>怎么使用</t>
  </si>
  <si>
    <t>每个素材一行；制作完成后在“状态”列选择“已完成”。</t>
  </si>
  <si>
    <t>未准备：尚未开始；准备中：已开始制作；已完成：文件已交付并通过检查。</t>
  </si>
  <si>
    <t>高：可阻塞对应开发；中：完成互动所需；低：可用网页或 CSS 替代。</t>
  </si>
  <si>
    <t>桌面尺寸</t>
  </si>
  <si>
    <t>动态文字</t>
  </si>
  <si>
    <t>标题、密码本、纸条、报到通知、合照背面和档案文字由网页排版，不要做成图片。</t>
  </si>
  <si>
    <t>不需要人物配音；只准备环境声、BGM、动作音效和已授权《童年》。</t>
  </si>
  <si>
    <t>首版只做桌面端，场景基准 1920×1080，安全区域 1600×900。</t>
    <phoneticPr fontId="7" type="noConversion"/>
  </si>
  <si>
    <t>1920×1080 / WebP</t>
    <phoneticPr fontId="7" type="noConversion"/>
  </si>
  <si>
    <t>批次</t>
    <phoneticPr fontId="7" type="noConversion"/>
  </si>
  <si>
    <t>场景_儿童房背景_默认_桌面.webp</t>
    <phoneticPr fontId="7" type="noConversion"/>
  </si>
  <si>
    <t>已完成</t>
  </si>
  <si>
    <t>短碎发、白色短袖、卡其色短裤、白色足球长袜，只穿袜子；自然站立。</t>
    <phoneticPr fontId="7" type="noConversion"/>
  </si>
  <si>
    <t>独立透明墙面图层；只含 122/128/135/142/149/156 cm，前五条褪色，最后一条清晰。</t>
    <phoneticPr fontId="7" type="noConversion"/>
  </si>
  <si>
    <t>场景_身高刻度_默认_桌面.webp</t>
    <phoneticPr fontId="7" type="noConversion"/>
  </si>
  <si>
    <t>可选；只高亮 156 cm，能叠加网页光效。</t>
    <phoneticPr fontId="7" type="noConversion"/>
  </si>
  <si>
    <t>场景_身高刻度_六年级高亮_桌面.webp</t>
    <phoneticPr fontId="7" type="noConversion"/>
  </si>
  <si>
    <t>1000×1000 / 透明 PNG/WebP</t>
    <phoneticPr fontId="7" type="noConversion"/>
  </si>
  <si>
    <t>四帧连续步行动作；四分之三侧面；双脚落点、画布尺寸和角色比例一致。</t>
    <phoneticPr fontId="7" type="noConversion"/>
  </si>
  <si>
    <t>角色_小满_站立_桌面.webp</t>
    <phoneticPr fontId="7" type="noConversion"/>
  </si>
  <si>
    <t>拉链半开，露出红领巾一角；主体边缘清楚，方便网页定位。</t>
    <phoneticPr fontId="7" type="noConversion"/>
  </si>
  <si>
    <t>书包_旧书包_关闭_桌面.webp</t>
    <phoneticPr fontId="7" type="noConversion"/>
  </si>
  <si>
    <t>黑屏、灰尘和微弱电源灯；屏幕内容由网页动态渲染。</t>
    <phoneticPr fontId="7" type="noConversion"/>
  </si>
  <si>
    <t>电脑_旧电脑_关闭_桌面.webp</t>
    <phoneticPr fontId="7" type="noConversion"/>
  </si>
  <si>
    <t>黄铜拉手、轻微缝隙和一角彩色纸片；可叠加拖开动画。</t>
    <phoneticPr fontId="7" type="noConversion"/>
  </si>
  <si>
    <t>书桌抽屉关闭</t>
    <phoneticPr fontId="7" type="noConversion"/>
  </si>
  <si>
    <t>抽屉_书桌抽屉_关闭_桌面.webp</t>
    <phoneticPr fontId="7" type="noConversion"/>
  </si>
  <si>
    <t>MP3关闭</t>
    <phoneticPr fontId="7" type="noConversion"/>
  </si>
  <si>
    <t>蓝色 LCD 熄灭，耳机线处于缠绕状态。</t>
    <phoneticPr fontId="7" type="noConversion"/>
  </si>
  <si>
    <t>MP3_MP3_关闭_桌面.webp</t>
    <phoneticPr fontId="7" type="noConversion"/>
  </si>
  <si>
    <t>X 型胶带封口，明确表示暂时不可打开。</t>
    <phoneticPr fontId="7" type="noConversion"/>
  </si>
  <si>
    <t>纸箱_搬家纸箱_封闭_桌面.webp</t>
    <phoneticPr fontId="7" type="noConversion"/>
  </si>
  <si>
    <t>角色_小满_走路_03_桌面.webp</t>
    <phoneticPr fontId="7" type="noConversion"/>
  </si>
  <si>
    <t>角色_小满_走路_04_桌面.webp</t>
    <phoneticPr fontId="7" type="noConversion"/>
  </si>
  <si>
    <t>角色_小满_走路_02_桌面.webp</t>
    <phoneticPr fontId="7" type="noConversion"/>
  </si>
  <si>
    <t>角色_小满_走路_01_桌面.webp</t>
    <phoneticPr fontId="7" type="noConversion"/>
  </si>
  <si>
    <t>进度_书包_线稿_桌面.webp</t>
    <phoneticPr fontId="7" type="noConversion"/>
  </si>
  <si>
    <t>进度_电脑鼠标_线稿_桌面.webp</t>
    <phoneticPr fontId="7" type="noConversion"/>
  </si>
  <si>
    <t>进度_抽屉拉手_线稿_桌面.webp</t>
    <phoneticPr fontId="7" type="noConversion"/>
  </si>
  <si>
    <t>进度_MP3耳机_线稿_桌面.webp</t>
    <phoneticPr fontId="7" type="noConversion"/>
  </si>
  <si>
    <t>进度_纸箱_线稿_桌面.webp</t>
    <phoneticPr fontId="7" type="noConversion"/>
  </si>
  <si>
    <t>角色_小满_整理书包_桌面.webp</t>
    <phoneticPr fontId="7" type="noConversion"/>
  </si>
  <si>
    <t>坐在旧电脑前，朝向屏幕，手臂可见。</t>
    <phoneticPr fontId="7" type="noConversion"/>
  </si>
  <si>
    <t>角色_小满_电脑前_桌面.webp</t>
    <phoneticPr fontId="7" type="noConversion"/>
  </si>
  <si>
    <t>角色_小满_拉抽屉_桌面.webp</t>
    <phoneticPr fontId="7" type="noConversion"/>
  </si>
  <si>
    <t>角色_小满_听MP3_桌面.webp</t>
    <phoneticPr fontId="7" type="noConversion"/>
  </si>
  <si>
    <t>角色_小满_纸箱旁_桌面.webp</t>
    <phoneticPr fontId="7" type="noConversion"/>
  </si>
  <si>
    <t>角色_小满_门口回望_桌面.webp</t>
    <phoneticPr fontId="7" type="noConversion"/>
  </si>
  <si>
    <t>书包_旧书包_打开_桌面.webp</t>
    <phoneticPr fontId="7" type="noConversion"/>
  </si>
  <si>
    <t>书包_旧书包_完成_桌面.webp</t>
    <phoneticPr fontId="7" type="noConversion"/>
  </si>
  <si>
    <t>只包含合上的书包</t>
    <phoneticPr fontId="7" type="noConversion"/>
  </si>
  <si>
    <t>书包_同桌纸条_掉落_桌面.webp</t>
    <phoneticPr fontId="7" type="noConversion"/>
  </si>
  <si>
    <t>只包含旁边的纸条。</t>
    <phoneticPr fontId="7" type="noConversion"/>
  </si>
  <si>
    <t>书包_红领巾_展开_桌面.webp</t>
    <phoneticPr fontId="7" type="noConversion"/>
  </si>
  <si>
    <t>书包_红领巾_叠好_桌面.webp</t>
    <phoneticPr fontId="7" type="noConversion"/>
  </si>
  <si>
    <t>书包_校牌_正面_桌面.webp</t>
    <phoneticPr fontId="7" type="noConversion"/>
  </si>
  <si>
    <t>书包_校牌_背面_桌面.webp</t>
    <phoneticPr fontId="7" type="noConversion"/>
  </si>
  <si>
    <t>背面有磨损、胶印或别针痕迹；文字可动态显示。</t>
    <phoneticPr fontId="7" type="noConversion"/>
  </si>
  <si>
    <t>书包_大队长章_默认_桌面.webp</t>
    <phoneticPr fontId="7" type="noConversion"/>
  </si>
  <si>
    <t>书包_密码本_关闭_桌面.webp</t>
    <phoneticPr fontId="7" type="noConversion"/>
  </si>
  <si>
    <t>书包_密码本_打开_桌面.webp</t>
    <phoneticPr fontId="7" type="noConversion"/>
  </si>
  <si>
    <t>书包_喜羊羊铅笔盒_关闭_桌面.webp</t>
    <phoneticPr fontId="7" type="noConversion"/>
  </si>
  <si>
    <t>书包_喜羊羊铅笔盒_打开_桌面.webp</t>
    <phoneticPr fontId="7" type="noConversion"/>
  </si>
  <si>
    <t>书包_新华字典_关闭_桌面.webp</t>
    <phoneticPr fontId="7" type="noConversion"/>
  </si>
  <si>
    <t>书包_新华字典_打开_桌面.webp</t>
    <phoneticPr fontId="7" type="noConversion"/>
  </si>
  <si>
    <t>书包_跳绳_展开_桌面.webp</t>
    <phoneticPr fontId="7" type="noConversion"/>
  </si>
  <si>
    <t>绳身拉直，手柄有磨损，适合拉直动作。</t>
    <phoneticPr fontId="7" type="noConversion"/>
  </si>
  <si>
    <t>书包_跳绳_卷起_桌面.webp</t>
    <phoneticPr fontId="7" type="noConversion"/>
  </si>
  <si>
    <t>书包_同桌纸条_正面_桌面.webp</t>
    <phoneticPr fontId="7" type="noConversion"/>
  </si>
  <si>
    <t>电脑_旧电脑_开机_桌面.webp</t>
    <phoneticPr fontId="7" type="noConversion"/>
  </si>
  <si>
    <t>电脑_鼠标_默认_桌面.webp</t>
    <phoneticPr fontId="7" type="noConversion"/>
  </si>
  <si>
    <t>网页动态组件</t>
    <phoneticPr fontId="7" type="noConversion"/>
  </si>
  <si>
    <t>电脑_旧电脑_完成_桌面.webp</t>
    <phoneticPr fontId="7" type="noConversion"/>
  </si>
  <si>
    <t>抽屉_床边抽屉_打开_桌面.webp</t>
    <phoneticPr fontId="7" type="noConversion"/>
  </si>
  <si>
    <t>抽屉_床边抽屉_完成_桌面.webp</t>
    <phoneticPr fontId="7" type="noConversion"/>
  </si>
  <si>
    <t>抽屉_水晶糖纸_默认_桌面.webp</t>
    <phoneticPr fontId="7" type="noConversion"/>
  </si>
  <si>
    <t>抽屉_东南西北_折起_桌面.webp</t>
    <phoneticPr fontId="7" type="noConversion"/>
  </si>
  <si>
    <t>抽屉_东南西北_展开_桌面.webp</t>
    <phoneticPr fontId="7" type="noConversion"/>
  </si>
  <si>
    <t>抽屉_比巴卜泡泡糖_默认_桌面.webp</t>
    <phoneticPr fontId="7" type="noConversion"/>
  </si>
  <si>
    <t>半透明彩色糖纸，有折痕，移动到光线处能透出颜色。</t>
    <phoneticPr fontId="7" type="noConversion"/>
  </si>
  <si>
    <t>抽屉_爆笑校园_封面_桌面.webp</t>
    <phoneticPr fontId="7" type="noConversion"/>
  </si>
  <si>
    <t>抽屉_爆笑校园_内页_桌面.webp</t>
    <phoneticPr fontId="7" type="noConversion"/>
  </si>
  <si>
    <t>抽屉_陀螺_默认_桌面.webp</t>
    <phoneticPr fontId="7" type="noConversion"/>
  </si>
  <si>
    <t>抽屉_玻璃弹珠_默认_桌面.webp</t>
    <phoneticPr fontId="7" type="noConversion"/>
  </si>
  <si>
    <t>抽屉_全班合照_一角_桌面.webp</t>
    <phoneticPr fontId="7" type="noConversion"/>
  </si>
  <si>
    <t>纸箱_全班合照_背面朝上_桌面.webp</t>
    <phoneticPr fontId="7" type="noConversion"/>
  </si>
  <si>
    <t>MP3_MP3_播放_桌面.webp</t>
    <phoneticPr fontId="7" type="noConversion"/>
  </si>
  <si>
    <t>MP3_MP3_完成_桌面.webp</t>
    <phoneticPr fontId="7" type="noConversion"/>
  </si>
  <si>
    <t>MP3_耳机_缠绕_桌面.webp</t>
    <phoneticPr fontId="7" type="noConversion"/>
  </si>
  <si>
    <t>MP3_耳机_解开_桌面.webp</t>
    <phoneticPr fontId="7" type="noConversion"/>
  </si>
  <si>
    <t>纸箱_搬家纸箱_解锁_桌面.webp</t>
    <phoneticPr fontId="7" type="noConversion"/>
  </si>
  <si>
    <t>纸箱_搬家纸箱_打开_桌面.webp</t>
    <phoneticPr fontId="7" type="noConversion"/>
  </si>
  <si>
    <t>纸箱_搬家纸箱_合上_桌面.webp</t>
    <phoneticPr fontId="7" type="noConversion"/>
  </si>
  <si>
    <t>纸箱_实验中学报到通知_默认_桌面.webp</t>
    <phoneticPr fontId="7" type="noConversion"/>
  </si>
  <si>
    <t>纸箱_新家钥匙_默认_桌面.webp</t>
    <phoneticPr fontId="7" type="noConversion"/>
  </si>
  <si>
    <t>纸箱_黑色双肩书包_默认_桌面.webp</t>
    <phoneticPr fontId="7" type="noConversion"/>
  </si>
  <si>
    <t>纸箱_黑色双肩书包_拉链微开_桌面.webp</t>
    <phoneticPr fontId="7" type="noConversion"/>
  </si>
  <si>
    <t>纸箱_实验中学校服_折叠_桌面.webp</t>
    <phoneticPr fontId="7" type="noConversion"/>
  </si>
  <si>
    <t>纸箱_实验中学校服_展开_桌面.webp</t>
    <phoneticPr fontId="7" type="noConversion"/>
  </si>
  <si>
    <t>纸箱_全班合照_正面_桌面.webp</t>
    <phoneticPr fontId="7" type="noConversion"/>
  </si>
  <si>
    <t>原创插画；约 30 位同学、实验小学门口、统一夏季校服、傍晚暖橙色阳光。</t>
    <phoneticPr fontId="7" type="noConversion"/>
  </si>
  <si>
    <t>纸箱_全班合照_背面_桌面.webp</t>
    <phoneticPr fontId="7" type="noConversion"/>
  </si>
  <si>
    <t>UI_纸条底图_默认.webp</t>
    <phoneticPr fontId="7" type="noConversion"/>
  </si>
  <si>
    <t>UI_手写记忆贴纸_默认.webp</t>
    <phoneticPr fontId="7" type="noConversion"/>
  </si>
  <si>
    <t>UI_档案标签_默认.webp</t>
    <phoneticPr fontId="7" type="noConversion"/>
  </si>
  <si>
    <t>AI_个人物件_占位_桌面.webp</t>
    <phoneticPr fontId="7" type="noConversion"/>
  </si>
  <si>
    <t>audio/ambience/fan-loop.wav</t>
    <phoneticPr fontId="7" type="noConversion"/>
  </si>
  <si>
    <t>audio/ambience/cicadas-loop.wav</t>
    <phoneticPr fontId="7" type="noConversion"/>
  </si>
  <si>
    <t>audio/ambience/distant-tv-loop.wav</t>
    <phoneticPr fontId="7" type="noConversion"/>
  </si>
  <si>
    <t>audio/ambience/children-downstairs-loop.wav</t>
    <phoneticPr fontId="7" type="noConversion"/>
  </si>
  <si>
    <t>audio/sfx/ui-click.wav</t>
    <phoneticPr fontId="7" type="noConversion"/>
  </si>
  <si>
    <t>audio/sfx/paper-rustle.wav</t>
    <phoneticPr fontId="7" type="noConversion"/>
  </si>
  <si>
    <t>audio/sfx/box-shake.wav</t>
    <phoneticPr fontId="7" type="noConversion"/>
  </si>
  <si>
    <t>audio/sfx/box-tape-tear.wav</t>
    <phoneticPr fontId="7" type="noConversion"/>
  </si>
  <si>
    <t>audio/sfx/box-open.wav</t>
    <phoneticPr fontId="7" type="noConversion"/>
  </si>
  <si>
    <t>audio/sfx/box-close.wav</t>
    <phoneticPr fontId="7" type="noConversion"/>
  </si>
  <si>
    <t>audio/sfx/bag-zipper.wav</t>
    <phoneticPr fontId="7" type="noConversion"/>
  </si>
  <si>
    <t>audio/sfx/object-drop-soft.wav</t>
    <phoneticPr fontId="7" type="noConversion"/>
  </si>
  <si>
    <t>audio/sfx/password-button.wav</t>
    <phoneticPr fontId="7" type="noConversion"/>
  </si>
  <si>
    <t>数字按键咔哒声。</t>
    <phoneticPr fontId="7" type="noConversion"/>
  </si>
  <si>
    <t>audio/sfx/password-error-click.wav</t>
    <phoneticPr fontId="7" type="noConversion"/>
  </si>
  <si>
    <t>audio/sfx/computer-boot.wav</t>
    <phoneticPr fontId="7" type="noConversion"/>
  </si>
  <si>
    <t>audio/sfx/mouse-click.wav</t>
    <phoneticPr fontId="7" type="noConversion"/>
  </si>
  <si>
    <t>audio/sfx/match-success.wav</t>
    <phoneticPr fontId="7" type="noConversion"/>
  </si>
  <si>
    <t>audio/sfx/match-hint.wav</t>
    <phoneticPr fontId="7" type="noConversion"/>
  </si>
  <si>
    <t>audio/sfx/farm-harvest.wav</t>
    <phoneticPr fontId="7" type="noConversion"/>
  </si>
  <si>
    <t>audio/sfx/farm-weed.wav</t>
    <phoneticPr fontId="7" type="noConversion"/>
  </si>
  <si>
    <t>audio/sfx/drawer-pull.wav</t>
    <phoneticPr fontId="7" type="noConversion"/>
  </si>
  <si>
    <t>audio/sfx/candy-wrapper.wav</t>
    <phoneticPr fontId="7" type="noConversion"/>
  </si>
  <si>
    <t>audio/sfx/fold-paper.wav</t>
    <phoneticPr fontId="7" type="noConversion"/>
  </si>
  <si>
    <t>audio/sfx/book-page-turn.wav</t>
    <phoneticPr fontId="7" type="noConversion"/>
  </si>
  <si>
    <t>audio/sfx/top-spin.wav</t>
    <phoneticPr fontId="7" type="noConversion"/>
  </si>
  <si>
    <t>audio/sfx/marble-roll.wav</t>
    <phoneticPr fontId="7" type="noConversion"/>
  </si>
  <si>
    <t>audio/sfx/mp3-button.wav</t>
    <phoneticPr fontId="7" type="noConversion"/>
  </si>
  <si>
    <t>audio/sfx/earphones-untangle.wav</t>
    <phoneticPr fontId="7" type="noConversion"/>
  </si>
  <si>
    <t>audio/sfx/key-jingle.wav</t>
    <phoneticPr fontId="7" type="noConversion"/>
  </si>
  <si>
    <t>audio/sfx/fabric-unfold.wav</t>
    <phoneticPr fontId="7" type="noConversion"/>
  </si>
  <si>
    <t>audio/sfx/photo-flip.wav</t>
    <phoneticPr fontId="7" type="noConversion"/>
  </si>
  <si>
    <t>audio/sfx/personal-object-land.wav</t>
    <phoneticPr fontId="7" type="noConversion"/>
  </si>
  <si>
    <t>audio/music/room-bgm-loop.wav</t>
    <phoneticPr fontId="7" type="noConversion"/>
  </si>
  <si>
    <t>场景_完整合成示意_桌面.webp</t>
    <phoneticPr fontId="7" type="noConversion"/>
  </si>
  <si>
    <t>字体_小满手写.woff2</t>
    <phoneticPr fontId="7" type="noConversion"/>
  </si>
  <si>
    <t>audio/music/tongnian-licensed.mp3</t>
    <phoneticPr fontId="7" type="noConversion"/>
  </si>
  <si>
    <t>audio/music/box-piano-loop.wav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</si>
</sst>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sz val="11"/>
      <color rgb="FF1F2937"/>
      <name val="Carlito"/>
    </font>
    <font>
      <b/>
      <sz val="11"/>
      <color rgb="FF1F4E78"/>
      <name val="Carlito"/>
    </font>
    <font>
      <b/>
      <sz val="11"/>
      <color rgb="FF1F2937"/>
      <name val="Carlito"/>
    </font>
    <font>
      <sz val="10"/>
      <color rgb="FF1F2937"/>
      <name val="Carlito"/>
    </font>
    <font>
      <sz val="11"/>
      <name val="Carlito"/>
    </font>
    <font>
      <sz val="9"/>
      <name val="FangSong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9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6" fillId="0" borderId="0"/>
  </cellStyleXfs>
  <cellXfs count="12">
    <xf numFmtId="0" fontId="0" fillId="0" borderId="0" xfId="0"/>
    <xf numFmtId="0" fontId="2" fillId="3" borderId="0" xfId="1" applyFont="1" applyFill="1" applyAlignment="1">
      <alignment vertical="center"/>
    </xf>
    <xf numFmtId="0" fontId="3" fillId="3" borderId="0" xfId="1" applyFont="1" applyFill="1" applyAlignment="1">
      <alignment vertical="center"/>
    </xf>
    <xf numFmtId="0" fontId="5" fillId="0" borderId="1" xfId="1" applyFont="1" applyBorder="1" applyAlignment="1">
      <alignment vertical="top" wrapText="1"/>
    </xf>
    <xf numFmtId="0" fontId="5" fillId="0" borderId="2" xfId="1" applyFont="1" applyBorder="1" applyAlignment="1">
      <alignment vertical="top" wrapText="1"/>
    </xf>
    <xf numFmtId="0" fontId="3" fillId="4" borderId="1" xfId="1" applyFont="1" applyFill="1" applyBorder="1" applyAlignment="1">
      <alignment vertical="top" wrapText="1"/>
    </xf>
    <xf numFmtId="0" fontId="2" fillId="0" borderId="1" xfId="1" applyFont="1" applyBorder="1" applyAlignment="1">
      <alignment vertical="top" wrapText="1"/>
    </xf>
    <xf numFmtId="0" fontId="3" fillId="4" borderId="2" xfId="1" applyFont="1" applyFill="1" applyBorder="1" applyAlignment="1">
      <alignment vertical="top" wrapText="1"/>
    </xf>
    <xf numFmtId="0" fontId="2" fillId="0" borderId="2" xfId="1" applyFont="1" applyBorder="1" applyAlignment="1">
      <alignment vertical="top" wrapText="1"/>
    </xf>
    <xf numFmtId="0" fontId="4" fillId="4" borderId="0" xfId="1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4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showGridLines="0" tabSelected="1" topLeftCell="A86" workbookViewId="0">
      <selection activeCell="E90" sqref="E90"/>
    </sheetView>
  </sheetViews>
  <sheetFormatPr baseColWidth="10" defaultColWidth="8.83203125" defaultRowHeight="14"/>
  <cols>
    <col min="1" max="1" width="12" customWidth="1"/>
    <col min="2" max="2" width="14" customWidth="1"/>
    <col min="3" max="3" width="12" customWidth="1"/>
    <col min="4" max="4" width="22" customWidth="1"/>
    <col min="5" max="5" width="34" customWidth="1"/>
    <col min="6" max="6" width="68" customWidth="1"/>
    <col min="7" max="7" width="22" customWidth="1"/>
    <col min="8" max="8" width="10" customWidth="1"/>
    <col min="9" max="9" width="12" customWidth="1"/>
    <col min="10" max="10" width="18" customWidth="1"/>
  </cols>
  <sheetData>
    <row r="1" spans="1:10" ht="30" customHeight="1">
      <c r="A1" s="11" t="s">
        <v>0</v>
      </c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  <c r="I1" s="11" t="s">
        <v>0</v>
      </c>
      <c r="J1" s="11" t="s">
        <v>0</v>
      </c>
    </row>
    <row r="2" spans="1:10" ht="15">
      <c r="A2" s="2" t="s">
        <v>1</v>
      </c>
      <c r="B2" s="1"/>
      <c r="C2" s="1">
        <f>COUNTA(E6:E119)</f>
        <v>114</v>
      </c>
      <c r="D2" s="1"/>
      <c r="E2" s="2" t="s">
        <v>2</v>
      </c>
      <c r="F2" s="1"/>
      <c r="G2" s="1">
        <f>COUNTIF(I6:I119,"未准备")+COUNTIF(I6:I119,"准备中")</f>
        <v>5</v>
      </c>
      <c r="H2" s="1"/>
    </row>
    <row r="3" spans="1:10" ht="15">
      <c r="A3" s="2" t="s">
        <v>3</v>
      </c>
      <c r="B3" s="1"/>
      <c r="C3" s="1">
        <f>COUNTIF(I6:I119,"已完成")</f>
        <v>109</v>
      </c>
      <c r="D3" s="1"/>
      <c r="E3" s="2" t="s">
        <v>4</v>
      </c>
      <c r="F3" s="1" t="s">
        <v>5</v>
      </c>
      <c r="G3" s="1"/>
      <c r="H3" s="1"/>
    </row>
    <row r="5" spans="1:10" s="10" customFormat="1" ht="28" customHeight="1">
      <c r="A5" s="9" t="s">
        <v>263</v>
      </c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9" t="s">
        <v>13</v>
      </c>
      <c r="J5" s="9" t="s">
        <v>14</v>
      </c>
    </row>
    <row r="6" spans="1:10" ht="44" customHeight="1">
      <c r="A6" s="3" t="s">
        <v>15</v>
      </c>
      <c r="B6" s="3" t="s">
        <v>16</v>
      </c>
      <c r="C6" s="3" t="s">
        <v>17</v>
      </c>
      <c r="D6" s="3" t="s">
        <v>18</v>
      </c>
      <c r="E6" s="3" t="s">
        <v>264</v>
      </c>
      <c r="F6" s="3" t="s">
        <v>19</v>
      </c>
      <c r="G6" s="3" t="s">
        <v>262</v>
      </c>
      <c r="H6" s="3" t="s">
        <v>21</v>
      </c>
      <c r="I6" s="3" t="s">
        <v>265</v>
      </c>
      <c r="J6" s="3"/>
    </row>
    <row r="7" spans="1:10" ht="44" customHeight="1">
      <c r="A7" s="4" t="s">
        <v>15</v>
      </c>
      <c r="B7" s="4" t="s">
        <v>16</v>
      </c>
      <c r="C7" s="4" t="s">
        <v>17</v>
      </c>
      <c r="D7" s="4" t="s">
        <v>23</v>
      </c>
      <c r="E7" s="4" t="s">
        <v>394</v>
      </c>
      <c r="F7" s="4" t="s">
        <v>24</v>
      </c>
      <c r="G7" s="4" t="s">
        <v>20</v>
      </c>
      <c r="H7" s="4" t="s">
        <v>21</v>
      </c>
      <c r="I7" s="4" t="s">
        <v>265</v>
      </c>
      <c r="J7" s="4" t="s">
        <v>25</v>
      </c>
    </row>
    <row r="8" spans="1:10" ht="44" customHeight="1">
      <c r="A8" s="4" t="s">
        <v>15</v>
      </c>
      <c r="B8" s="4" t="s">
        <v>16</v>
      </c>
      <c r="C8" s="4" t="s">
        <v>17</v>
      </c>
      <c r="D8" s="4" t="s">
        <v>26</v>
      </c>
      <c r="E8" s="4" t="s">
        <v>268</v>
      </c>
      <c r="F8" s="4" t="s">
        <v>267</v>
      </c>
      <c r="G8" s="4" t="s">
        <v>27</v>
      </c>
      <c r="H8" s="4" t="s">
        <v>28</v>
      </c>
      <c r="I8" s="4" t="s">
        <v>265</v>
      </c>
      <c r="J8" s="4"/>
    </row>
    <row r="9" spans="1:10" ht="44" customHeight="1">
      <c r="A9" s="4" t="s">
        <v>15</v>
      </c>
      <c r="B9" s="4" t="s">
        <v>16</v>
      </c>
      <c r="C9" s="4" t="s">
        <v>17</v>
      </c>
      <c r="D9" s="4" t="s">
        <v>29</v>
      </c>
      <c r="E9" s="4" t="s">
        <v>270</v>
      </c>
      <c r="F9" s="4" t="s">
        <v>269</v>
      </c>
      <c r="G9" s="4" t="s">
        <v>27</v>
      </c>
      <c r="H9" s="4" t="s">
        <v>30</v>
      </c>
      <c r="I9" s="4" t="s">
        <v>22</v>
      </c>
      <c r="J9" s="4" t="s">
        <v>31</v>
      </c>
    </row>
    <row r="10" spans="1:10" ht="44" customHeight="1">
      <c r="A10" s="4" t="s">
        <v>15</v>
      </c>
      <c r="B10" s="4" t="s">
        <v>32</v>
      </c>
      <c r="C10" s="4" t="s">
        <v>17</v>
      </c>
      <c r="D10" s="4" t="s">
        <v>33</v>
      </c>
      <c r="E10" s="4" t="s">
        <v>273</v>
      </c>
      <c r="F10" s="4" t="s">
        <v>266</v>
      </c>
      <c r="G10" s="4" t="s">
        <v>271</v>
      </c>
      <c r="H10" s="4" t="s">
        <v>21</v>
      </c>
      <c r="I10" s="4" t="s">
        <v>265</v>
      </c>
      <c r="J10" s="4"/>
    </row>
    <row r="11" spans="1:10" ht="44" customHeight="1">
      <c r="A11" s="4" t="s">
        <v>15</v>
      </c>
      <c r="B11" s="4" t="s">
        <v>32</v>
      </c>
      <c r="C11" s="4" t="s">
        <v>17</v>
      </c>
      <c r="D11" s="4" t="s">
        <v>35</v>
      </c>
      <c r="E11" s="4" t="s">
        <v>289</v>
      </c>
      <c r="F11" s="4" t="s">
        <v>272</v>
      </c>
      <c r="G11" s="4" t="s">
        <v>271</v>
      </c>
      <c r="H11" s="4" t="s">
        <v>21</v>
      </c>
      <c r="I11" s="4" t="s">
        <v>265</v>
      </c>
      <c r="J11" s="4"/>
    </row>
    <row r="12" spans="1:10" ht="44" customHeight="1">
      <c r="A12" s="4" t="s">
        <v>15</v>
      </c>
      <c r="B12" s="4" t="s">
        <v>32</v>
      </c>
      <c r="C12" s="4" t="s">
        <v>17</v>
      </c>
      <c r="D12" s="4" t="s">
        <v>37</v>
      </c>
      <c r="E12" s="4" t="s">
        <v>288</v>
      </c>
      <c r="F12" s="4" t="s">
        <v>36</v>
      </c>
      <c r="G12" s="4" t="s">
        <v>34</v>
      </c>
      <c r="H12" s="4" t="s">
        <v>21</v>
      </c>
      <c r="I12" s="4" t="s">
        <v>265</v>
      </c>
      <c r="J12" s="4"/>
    </row>
    <row r="13" spans="1:10" ht="44" customHeight="1">
      <c r="A13" s="4" t="s">
        <v>15</v>
      </c>
      <c r="B13" s="4" t="s">
        <v>32</v>
      </c>
      <c r="C13" s="4" t="s">
        <v>17</v>
      </c>
      <c r="D13" s="4" t="s">
        <v>38</v>
      </c>
      <c r="E13" s="4" t="s">
        <v>286</v>
      </c>
      <c r="F13" s="4" t="s">
        <v>36</v>
      </c>
      <c r="G13" s="4" t="s">
        <v>34</v>
      </c>
      <c r="H13" s="4" t="s">
        <v>21</v>
      </c>
      <c r="I13" s="4" t="s">
        <v>265</v>
      </c>
      <c r="J13" s="4"/>
    </row>
    <row r="14" spans="1:10" ht="44" customHeight="1">
      <c r="A14" s="4" t="s">
        <v>15</v>
      </c>
      <c r="B14" s="4" t="s">
        <v>32</v>
      </c>
      <c r="C14" s="4" t="s">
        <v>17</v>
      </c>
      <c r="D14" s="4" t="s">
        <v>39</v>
      </c>
      <c r="E14" s="4" t="s">
        <v>287</v>
      </c>
      <c r="F14" s="4" t="s">
        <v>272</v>
      </c>
      <c r="G14" s="4" t="s">
        <v>34</v>
      </c>
      <c r="H14" s="4" t="s">
        <v>21</v>
      </c>
      <c r="I14" s="4" t="s">
        <v>265</v>
      </c>
      <c r="J14" s="4"/>
    </row>
    <row r="15" spans="1:10" ht="44" customHeight="1">
      <c r="A15" s="4" t="s">
        <v>15</v>
      </c>
      <c r="B15" s="4" t="s">
        <v>40</v>
      </c>
      <c r="C15" s="4" t="s">
        <v>17</v>
      </c>
      <c r="D15" s="4" t="s">
        <v>41</v>
      </c>
      <c r="E15" s="4" t="s">
        <v>275</v>
      </c>
      <c r="F15" s="4" t="s">
        <v>274</v>
      </c>
      <c r="G15" s="4" t="s">
        <v>27</v>
      </c>
      <c r="H15" s="4" t="s">
        <v>21</v>
      </c>
      <c r="I15" s="4" t="s">
        <v>265</v>
      </c>
      <c r="J15" s="4"/>
    </row>
    <row r="16" spans="1:10" ht="44" customHeight="1">
      <c r="A16" s="4" t="s">
        <v>15</v>
      </c>
      <c r="B16" s="4" t="s">
        <v>40</v>
      </c>
      <c r="C16" s="4" t="s">
        <v>17</v>
      </c>
      <c r="D16" s="4" t="s">
        <v>42</v>
      </c>
      <c r="E16" s="4" t="s">
        <v>277</v>
      </c>
      <c r="F16" s="4" t="s">
        <v>276</v>
      </c>
      <c r="G16" s="4" t="s">
        <v>27</v>
      </c>
      <c r="H16" s="4" t="s">
        <v>21</v>
      </c>
      <c r="I16" s="4" t="s">
        <v>265</v>
      </c>
      <c r="J16" s="4"/>
    </row>
    <row r="17" spans="1:10" ht="44" customHeight="1">
      <c r="A17" s="4" t="s">
        <v>15</v>
      </c>
      <c r="B17" s="4" t="s">
        <v>40</v>
      </c>
      <c r="C17" s="4" t="s">
        <v>17</v>
      </c>
      <c r="D17" s="4" t="s">
        <v>279</v>
      </c>
      <c r="E17" s="4" t="s">
        <v>280</v>
      </c>
      <c r="F17" s="4" t="s">
        <v>278</v>
      </c>
      <c r="G17" s="4" t="s">
        <v>27</v>
      </c>
      <c r="H17" s="4" t="s">
        <v>21</v>
      </c>
      <c r="I17" s="4" t="s">
        <v>265</v>
      </c>
      <c r="J17" s="4"/>
    </row>
    <row r="18" spans="1:10" ht="44" customHeight="1">
      <c r="A18" s="4" t="s">
        <v>15</v>
      </c>
      <c r="B18" s="4" t="s">
        <v>40</v>
      </c>
      <c r="C18" s="4" t="s">
        <v>17</v>
      </c>
      <c r="D18" s="4" t="s">
        <v>281</v>
      </c>
      <c r="E18" s="4" t="s">
        <v>283</v>
      </c>
      <c r="F18" s="4" t="s">
        <v>282</v>
      </c>
      <c r="G18" s="4" t="s">
        <v>27</v>
      </c>
      <c r="H18" s="4" t="s">
        <v>21</v>
      </c>
      <c r="I18" s="4" t="s">
        <v>265</v>
      </c>
      <c r="J18" s="4"/>
    </row>
    <row r="19" spans="1:10" ht="44" customHeight="1">
      <c r="A19" s="4" t="s">
        <v>15</v>
      </c>
      <c r="B19" s="4" t="s">
        <v>40</v>
      </c>
      <c r="C19" s="4" t="s">
        <v>17</v>
      </c>
      <c r="D19" s="4" t="s">
        <v>43</v>
      </c>
      <c r="E19" s="4" t="s">
        <v>285</v>
      </c>
      <c r="F19" s="4" t="s">
        <v>284</v>
      </c>
      <c r="G19" s="4" t="s">
        <v>27</v>
      </c>
      <c r="H19" s="4" t="s">
        <v>21</v>
      </c>
      <c r="I19" s="4" t="s">
        <v>265</v>
      </c>
      <c r="J19" s="4"/>
    </row>
    <row r="20" spans="1:10" ht="44" customHeight="1">
      <c r="A20" s="4" t="s">
        <v>15</v>
      </c>
      <c r="B20" s="4" t="s">
        <v>44</v>
      </c>
      <c r="C20" s="4" t="s">
        <v>17</v>
      </c>
      <c r="D20" s="4" t="s">
        <v>45</v>
      </c>
      <c r="E20" s="4" t="s">
        <v>290</v>
      </c>
      <c r="F20" s="4" t="s">
        <v>46</v>
      </c>
      <c r="G20" s="4" t="s">
        <v>27</v>
      </c>
      <c r="H20" s="4" t="s">
        <v>21</v>
      </c>
      <c r="I20" s="4" t="s">
        <v>265</v>
      </c>
      <c r="J20" s="4"/>
    </row>
    <row r="21" spans="1:10" ht="44" customHeight="1">
      <c r="A21" s="4" t="s">
        <v>15</v>
      </c>
      <c r="B21" s="4" t="s">
        <v>44</v>
      </c>
      <c r="C21" s="4" t="s">
        <v>17</v>
      </c>
      <c r="D21" s="4" t="s">
        <v>47</v>
      </c>
      <c r="E21" s="4" t="s">
        <v>291</v>
      </c>
      <c r="F21" s="4" t="s">
        <v>46</v>
      </c>
      <c r="G21" s="4" t="s">
        <v>27</v>
      </c>
      <c r="H21" s="4" t="s">
        <v>21</v>
      </c>
      <c r="I21" s="4" t="s">
        <v>265</v>
      </c>
      <c r="J21" s="4"/>
    </row>
    <row r="22" spans="1:10" ht="44" customHeight="1">
      <c r="A22" s="4" t="s">
        <v>15</v>
      </c>
      <c r="B22" s="4" t="s">
        <v>44</v>
      </c>
      <c r="C22" s="4" t="s">
        <v>17</v>
      </c>
      <c r="D22" s="4" t="s">
        <v>48</v>
      </c>
      <c r="E22" s="4" t="s">
        <v>292</v>
      </c>
      <c r="F22" s="4" t="s">
        <v>46</v>
      </c>
      <c r="G22" s="4" t="s">
        <v>27</v>
      </c>
      <c r="H22" s="4" t="s">
        <v>21</v>
      </c>
      <c r="I22" s="4" t="s">
        <v>265</v>
      </c>
      <c r="J22" s="4"/>
    </row>
    <row r="23" spans="1:10" ht="44" customHeight="1">
      <c r="A23" s="4" t="s">
        <v>15</v>
      </c>
      <c r="B23" s="4" t="s">
        <v>44</v>
      </c>
      <c r="C23" s="4" t="s">
        <v>17</v>
      </c>
      <c r="D23" s="4" t="s">
        <v>49</v>
      </c>
      <c r="E23" s="4" t="s">
        <v>293</v>
      </c>
      <c r="F23" s="4" t="s">
        <v>46</v>
      </c>
      <c r="G23" s="4" t="s">
        <v>27</v>
      </c>
      <c r="H23" s="4" t="s">
        <v>21</v>
      </c>
      <c r="I23" s="4" t="s">
        <v>265</v>
      </c>
      <c r="J23" s="4"/>
    </row>
    <row r="24" spans="1:10" ht="44" customHeight="1">
      <c r="A24" s="4" t="s">
        <v>15</v>
      </c>
      <c r="B24" s="4" t="s">
        <v>44</v>
      </c>
      <c r="C24" s="4" t="s">
        <v>17</v>
      </c>
      <c r="D24" s="4" t="s">
        <v>50</v>
      </c>
      <c r="E24" s="4" t="s">
        <v>294</v>
      </c>
      <c r="F24" s="4" t="s">
        <v>46</v>
      </c>
      <c r="G24" s="4" t="s">
        <v>27</v>
      </c>
      <c r="H24" s="4" t="s">
        <v>21</v>
      </c>
      <c r="I24" s="4" t="s">
        <v>265</v>
      </c>
      <c r="J24" s="4"/>
    </row>
    <row r="25" spans="1:10" ht="44" customHeight="1">
      <c r="A25" s="4" t="s">
        <v>15</v>
      </c>
      <c r="B25" s="4" t="s">
        <v>44</v>
      </c>
      <c r="C25" s="4" t="s">
        <v>51</v>
      </c>
      <c r="D25" s="4" t="s">
        <v>52</v>
      </c>
      <c r="E25" s="4" t="s">
        <v>395</v>
      </c>
      <c r="F25" s="4" t="s">
        <v>53</v>
      </c>
      <c r="G25" s="4" t="s">
        <v>54</v>
      </c>
      <c r="H25" s="4" t="s">
        <v>21</v>
      </c>
      <c r="I25" s="4" t="s">
        <v>265</v>
      </c>
      <c r="J25" s="4" t="s">
        <v>55</v>
      </c>
    </row>
    <row r="26" spans="1:10" ht="44" customHeight="1">
      <c r="A26" s="4" t="s">
        <v>56</v>
      </c>
      <c r="B26" s="4" t="s">
        <v>32</v>
      </c>
      <c r="C26" s="4" t="s">
        <v>17</v>
      </c>
      <c r="D26" s="4" t="s">
        <v>57</v>
      </c>
      <c r="E26" s="4" t="s">
        <v>295</v>
      </c>
      <c r="F26" s="4" t="s">
        <v>58</v>
      </c>
      <c r="G26" s="4" t="s">
        <v>34</v>
      </c>
      <c r="H26" s="4" t="s">
        <v>28</v>
      </c>
      <c r="I26" s="4" t="s">
        <v>265</v>
      </c>
      <c r="J26" s="4"/>
    </row>
    <row r="27" spans="1:10" ht="44" customHeight="1">
      <c r="A27" s="4" t="s">
        <v>56</v>
      </c>
      <c r="B27" s="4" t="s">
        <v>32</v>
      </c>
      <c r="C27" s="4" t="s">
        <v>17</v>
      </c>
      <c r="D27" s="4" t="s">
        <v>59</v>
      </c>
      <c r="E27" s="4" t="s">
        <v>297</v>
      </c>
      <c r="F27" s="4" t="s">
        <v>296</v>
      </c>
      <c r="G27" s="4" t="s">
        <v>34</v>
      </c>
      <c r="H27" s="4" t="s">
        <v>28</v>
      </c>
      <c r="I27" s="4" t="s">
        <v>265</v>
      </c>
      <c r="J27" s="4"/>
    </row>
    <row r="28" spans="1:10" ht="44" customHeight="1">
      <c r="A28" s="4" t="s">
        <v>56</v>
      </c>
      <c r="B28" s="4" t="s">
        <v>32</v>
      </c>
      <c r="C28" s="4" t="s">
        <v>17</v>
      </c>
      <c r="D28" s="4" t="s">
        <v>60</v>
      </c>
      <c r="E28" s="4" t="s">
        <v>298</v>
      </c>
      <c r="F28" s="4" t="s">
        <v>61</v>
      </c>
      <c r="G28" s="4" t="s">
        <v>34</v>
      </c>
      <c r="H28" s="4" t="s">
        <v>28</v>
      </c>
      <c r="I28" s="4" t="s">
        <v>265</v>
      </c>
      <c r="J28" s="4"/>
    </row>
    <row r="29" spans="1:10" ht="44" customHeight="1">
      <c r="A29" s="4" t="s">
        <v>56</v>
      </c>
      <c r="B29" s="4" t="s">
        <v>32</v>
      </c>
      <c r="C29" s="4" t="s">
        <v>17</v>
      </c>
      <c r="D29" s="4" t="s">
        <v>62</v>
      </c>
      <c r="E29" s="4" t="s">
        <v>299</v>
      </c>
      <c r="F29" s="4" t="s">
        <v>63</v>
      </c>
      <c r="G29" s="4" t="s">
        <v>34</v>
      </c>
      <c r="H29" s="4" t="s">
        <v>28</v>
      </c>
      <c r="I29" s="4" t="s">
        <v>265</v>
      </c>
      <c r="J29" s="4"/>
    </row>
    <row r="30" spans="1:10" ht="44" customHeight="1">
      <c r="A30" s="4" t="s">
        <v>56</v>
      </c>
      <c r="B30" s="4" t="s">
        <v>32</v>
      </c>
      <c r="C30" s="4" t="s">
        <v>17</v>
      </c>
      <c r="D30" s="4" t="s">
        <v>64</v>
      </c>
      <c r="E30" s="4" t="s">
        <v>300</v>
      </c>
      <c r="F30" s="4" t="s">
        <v>65</v>
      </c>
      <c r="G30" s="4" t="s">
        <v>34</v>
      </c>
      <c r="H30" s="4" t="s">
        <v>28</v>
      </c>
      <c r="I30" s="4" t="s">
        <v>265</v>
      </c>
      <c r="J30" s="4"/>
    </row>
    <row r="31" spans="1:10" ht="44" customHeight="1">
      <c r="A31" s="4" t="s">
        <v>56</v>
      </c>
      <c r="B31" s="4" t="s">
        <v>32</v>
      </c>
      <c r="C31" s="4" t="s">
        <v>17</v>
      </c>
      <c r="D31" s="4" t="s">
        <v>66</v>
      </c>
      <c r="E31" s="4" t="s">
        <v>301</v>
      </c>
      <c r="F31" s="4" t="s">
        <v>67</v>
      </c>
      <c r="G31" s="4" t="s">
        <v>34</v>
      </c>
      <c r="H31" s="4" t="s">
        <v>28</v>
      </c>
      <c r="I31" s="4" t="s">
        <v>265</v>
      </c>
      <c r="J31" s="4"/>
    </row>
    <row r="32" spans="1:10" ht="44" customHeight="1">
      <c r="A32" s="4" t="s">
        <v>68</v>
      </c>
      <c r="B32" s="4" t="s">
        <v>69</v>
      </c>
      <c r="C32" s="4" t="s">
        <v>17</v>
      </c>
      <c r="D32" s="4" t="s">
        <v>70</v>
      </c>
      <c r="E32" s="4" t="s">
        <v>302</v>
      </c>
      <c r="F32" s="4" t="s">
        <v>71</v>
      </c>
      <c r="G32" s="4" t="s">
        <v>27</v>
      </c>
      <c r="H32" s="4" t="s">
        <v>28</v>
      </c>
      <c r="I32" s="4" t="s">
        <v>265</v>
      </c>
      <c r="J32" s="4"/>
    </row>
    <row r="33" spans="1:10" ht="44" customHeight="1">
      <c r="A33" s="4" t="s">
        <v>68</v>
      </c>
      <c r="B33" s="4" t="s">
        <v>69</v>
      </c>
      <c r="C33" s="4" t="s">
        <v>17</v>
      </c>
      <c r="D33" s="4" t="s">
        <v>72</v>
      </c>
      <c r="E33" s="4" t="s">
        <v>305</v>
      </c>
      <c r="F33" s="4" t="s">
        <v>306</v>
      </c>
      <c r="G33" s="4" t="s">
        <v>27</v>
      </c>
      <c r="H33" s="4" t="s">
        <v>30</v>
      </c>
      <c r="I33" s="4" t="s">
        <v>265</v>
      </c>
      <c r="J33" s="4"/>
    </row>
    <row r="34" spans="1:10" ht="44" customHeight="1">
      <c r="A34" s="4" t="s">
        <v>68</v>
      </c>
      <c r="B34" s="4" t="s">
        <v>69</v>
      </c>
      <c r="C34" s="4" t="s">
        <v>17</v>
      </c>
      <c r="D34" s="4" t="s">
        <v>72</v>
      </c>
      <c r="E34" s="4" t="s">
        <v>303</v>
      </c>
      <c r="F34" s="4" t="s">
        <v>304</v>
      </c>
      <c r="G34" s="4" t="s">
        <v>27</v>
      </c>
      <c r="H34" s="4" t="s">
        <v>30</v>
      </c>
      <c r="I34" s="4" t="s">
        <v>265</v>
      </c>
      <c r="J34" s="4"/>
    </row>
    <row r="35" spans="1:10" ht="44" customHeight="1">
      <c r="A35" s="4" t="s">
        <v>68</v>
      </c>
      <c r="B35" s="4" t="s">
        <v>69</v>
      </c>
      <c r="C35" s="4" t="s">
        <v>17</v>
      </c>
      <c r="D35" s="4" t="s">
        <v>73</v>
      </c>
      <c r="E35" s="4" t="s">
        <v>307</v>
      </c>
      <c r="F35" s="4" t="s">
        <v>74</v>
      </c>
      <c r="G35" s="4" t="s">
        <v>27</v>
      </c>
      <c r="H35" s="4" t="s">
        <v>28</v>
      </c>
      <c r="I35" s="4" t="s">
        <v>265</v>
      </c>
      <c r="J35" s="4"/>
    </row>
    <row r="36" spans="1:10" ht="44" customHeight="1">
      <c r="A36" s="4" t="s">
        <v>68</v>
      </c>
      <c r="B36" s="4" t="s">
        <v>69</v>
      </c>
      <c r="C36" s="4" t="s">
        <v>17</v>
      </c>
      <c r="D36" s="4" t="s">
        <v>75</v>
      </c>
      <c r="E36" s="4" t="s">
        <v>308</v>
      </c>
      <c r="F36" s="4" t="s">
        <v>76</v>
      </c>
      <c r="G36" s="4" t="s">
        <v>27</v>
      </c>
      <c r="H36" s="4" t="s">
        <v>28</v>
      </c>
      <c r="I36" s="4" t="s">
        <v>265</v>
      </c>
      <c r="J36" s="4"/>
    </row>
    <row r="37" spans="1:10" ht="44" customHeight="1">
      <c r="A37" s="4" t="s">
        <v>68</v>
      </c>
      <c r="B37" s="4" t="s">
        <v>69</v>
      </c>
      <c r="C37" s="4" t="s">
        <v>17</v>
      </c>
      <c r="D37" s="4" t="s">
        <v>77</v>
      </c>
      <c r="E37" s="4" t="s">
        <v>309</v>
      </c>
      <c r="F37" s="4" t="s">
        <v>78</v>
      </c>
      <c r="G37" s="4" t="s">
        <v>27</v>
      </c>
      <c r="H37" s="4" t="s">
        <v>28</v>
      </c>
      <c r="I37" s="4" t="s">
        <v>265</v>
      </c>
      <c r="J37" s="4"/>
    </row>
    <row r="38" spans="1:10" ht="44" customHeight="1">
      <c r="A38" s="4" t="s">
        <v>68</v>
      </c>
      <c r="B38" s="4" t="s">
        <v>69</v>
      </c>
      <c r="C38" s="4" t="s">
        <v>17</v>
      </c>
      <c r="D38" s="4" t="s">
        <v>79</v>
      </c>
      <c r="E38" s="4" t="s">
        <v>310</v>
      </c>
      <c r="F38" s="4" t="s">
        <v>311</v>
      </c>
      <c r="G38" s="4" t="s">
        <v>27</v>
      </c>
      <c r="H38" s="4" t="s">
        <v>28</v>
      </c>
      <c r="I38" s="4" t="s">
        <v>265</v>
      </c>
      <c r="J38" s="4"/>
    </row>
    <row r="39" spans="1:10" ht="44" customHeight="1">
      <c r="A39" s="4" t="s">
        <v>68</v>
      </c>
      <c r="B39" s="4" t="s">
        <v>69</v>
      </c>
      <c r="C39" s="4" t="s">
        <v>17</v>
      </c>
      <c r="D39" s="4" t="s">
        <v>80</v>
      </c>
      <c r="E39" s="4" t="s">
        <v>312</v>
      </c>
      <c r="F39" s="4" t="s">
        <v>81</v>
      </c>
      <c r="G39" s="4" t="s">
        <v>27</v>
      </c>
      <c r="H39" s="4" t="s">
        <v>28</v>
      </c>
      <c r="I39" s="4" t="s">
        <v>265</v>
      </c>
      <c r="J39" s="4"/>
    </row>
    <row r="40" spans="1:10" ht="44" customHeight="1">
      <c r="A40" s="4" t="s">
        <v>68</v>
      </c>
      <c r="B40" s="4" t="s">
        <v>69</v>
      </c>
      <c r="C40" s="4" t="s">
        <v>17</v>
      </c>
      <c r="D40" s="4" t="s">
        <v>82</v>
      </c>
      <c r="E40" s="4" t="s">
        <v>313</v>
      </c>
      <c r="F40" s="4" t="s">
        <v>83</v>
      </c>
      <c r="G40" s="4" t="s">
        <v>27</v>
      </c>
      <c r="H40" s="4" t="s">
        <v>28</v>
      </c>
      <c r="I40" s="4" t="s">
        <v>265</v>
      </c>
      <c r="J40" s="4"/>
    </row>
    <row r="41" spans="1:10" ht="44" customHeight="1">
      <c r="A41" s="4" t="s">
        <v>68</v>
      </c>
      <c r="B41" s="4" t="s">
        <v>69</v>
      </c>
      <c r="C41" s="4" t="s">
        <v>17</v>
      </c>
      <c r="D41" s="4" t="s">
        <v>84</v>
      </c>
      <c r="E41" s="4" t="s">
        <v>314</v>
      </c>
      <c r="F41" s="4" t="s">
        <v>85</v>
      </c>
      <c r="G41" s="4" t="s">
        <v>27</v>
      </c>
      <c r="H41" s="4" t="s">
        <v>28</v>
      </c>
      <c r="I41" s="4" t="s">
        <v>265</v>
      </c>
      <c r="J41" s="4"/>
    </row>
    <row r="42" spans="1:10" ht="44" customHeight="1">
      <c r="A42" s="4" t="s">
        <v>68</v>
      </c>
      <c r="B42" s="4" t="s">
        <v>69</v>
      </c>
      <c r="C42" s="4" t="s">
        <v>17</v>
      </c>
      <c r="D42" s="4" t="s">
        <v>86</v>
      </c>
      <c r="E42" s="4" t="s">
        <v>315</v>
      </c>
      <c r="F42" s="4" t="s">
        <v>87</v>
      </c>
      <c r="G42" s="4" t="s">
        <v>27</v>
      </c>
      <c r="H42" s="4" t="s">
        <v>28</v>
      </c>
      <c r="I42" s="4" t="s">
        <v>265</v>
      </c>
      <c r="J42" s="4"/>
    </row>
    <row r="43" spans="1:10" ht="44" customHeight="1">
      <c r="A43" s="4" t="s">
        <v>68</v>
      </c>
      <c r="B43" s="4" t="s">
        <v>69</v>
      </c>
      <c r="C43" s="4" t="s">
        <v>17</v>
      </c>
      <c r="D43" s="4" t="s">
        <v>88</v>
      </c>
      <c r="E43" s="4" t="s">
        <v>316</v>
      </c>
      <c r="F43" s="4" t="s">
        <v>89</v>
      </c>
      <c r="G43" s="4" t="s">
        <v>27</v>
      </c>
      <c r="H43" s="4" t="s">
        <v>28</v>
      </c>
      <c r="I43" s="4" t="s">
        <v>265</v>
      </c>
      <c r="J43" s="4"/>
    </row>
    <row r="44" spans="1:10" ht="44" customHeight="1">
      <c r="A44" s="4" t="s">
        <v>68</v>
      </c>
      <c r="B44" s="4" t="s">
        <v>69</v>
      </c>
      <c r="C44" s="4" t="s">
        <v>17</v>
      </c>
      <c r="D44" s="4" t="s">
        <v>90</v>
      </c>
      <c r="E44" s="4" t="s">
        <v>317</v>
      </c>
      <c r="F44" s="4" t="s">
        <v>91</v>
      </c>
      <c r="G44" s="4" t="s">
        <v>27</v>
      </c>
      <c r="H44" s="4" t="s">
        <v>28</v>
      </c>
      <c r="I44" s="4" t="s">
        <v>265</v>
      </c>
      <c r="J44" s="4"/>
    </row>
    <row r="45" spans="1:10" ht="44" customHeight="1">
      <c r="A45" s="4" t="s">
        <v>68</v>
      </c>
      <c r="B45" s="4" t="s">
        <v>69</v>
      </c>
      <c r="C45" s="4" t="s">
        <v>17</v>
      </c>
      <c r="D45" s="4" t="s">
        <v>92</v>
      </c>
      <c r="E45" s="4" t="s">
        <v>318</v>
      </c>
      <c r="F45" s="4" t="s">
        <v>93</v>
      </c>
      <c r="G45" s="4" t="s">
        <v>27</v>
      </c>
      <c r="H45" s="4" t="s">
        <v>28</v>
      </c>
      <c r="I45" s="4" t="s">
        <v>265</v>
      </c>
      <c r="J45" s="4"/>
    </row>
    <row r="46" spans="1:10" ht="44" customHeight="1">
      <c r="A46" s="4" t="s">
        <v>68</v>
      </c>
      <c r="B46" s="4" t="s">
        <v>69</v>
      </c>
      <c r="C46" s="4" t="s">
        <v>17</v>
      </c>
      <c r="D46" s="4" t="s">
        <v>94</v>
      </c>
      <c r="E46" s="4" t="s">
        <v>319</v>
      </c>
      <c r="F46" s="4" t="s">
        <v>320</v>
      </c>
      <c r="G46" s="4" t="s">
        <v>27</v>
      </c>
      <c r="H46" s="4" t="s">
        <v>28</v>
      </c>
      <c r="I46" s="4" t="s">
        <v>265</v>
      </c>
      <c r="J46" s="4"/>
    </row>
    <row r="47" spans="1:10" ht="44" customHeight="1">
      <c r="A47" s="4" t="s">
        <v>68</v>
      </c>
      <c r="B47" s="4" t="s">
        <v>69</v>
      </c>
      <c r="C47" s="4" t="s">
        <v>17</v>
      </c>
      <c r="D47" s="4" t="s">
        <v>95</v>
      </c>
      <c r="E47" s="4" t="s">
        <v>321</v>
      </c>
      <c r="F47" s="4" t="s">
        <v>96</v>
      </c>
      <c r="G47" s="4" t="s">
        <v>27</v>
      </c>
      <c r="H47" s="4" t="s">
        <v>28</v>
      </c>
      <c r="I47" s="4" t="s">
        <v>265</v>
      </c>
      <c r="J47" s="4"/>
    </row>
    <row r="48" spans="1:10" ht="44" customHeight="1">
      <c r="A48" s="4" t="s">
        <v>68</v>
      </c>
      <c r="B48" s="4" t="s">
        <v>69</v>
      </c>
      <c r="C48" s="4" t="s">
        <v>17</v>
      </c>
      <c r="D48" s="4" t="s">
        <v>97</v>
      </c>
      <c r="E48" s="4" t="s">
        <v>322</v>
      </c>
      <c r="F48" s="4" t="s">
        <v>98</v>
      </c>
      <c r="G48" s="4" t="s">
        <v>27</v>
      </c>
      <c r="H48" s="4" t="s">
        <v>28</v>
      </c>
      <c r="I48" s="4" t="s">
        <v>265</v>
      </c>
      <c r="J48" s="4"/>
    </row>
    <row r="49" spans="1:10" ht="44" customHeight="1">
      <c r="A49" s="4" t="s">
        <v>99</v>
      </c>
      <c r="B49" s="4" t="s">
        <v>100</v>
      </c>
      <c r="C49" s="4" t="s">
        <v>17</v>
      </c>
      <c r="D49" s="4" t="s">
        <v>101</v>
      </c>
      <c r="E49" s="4" t="s">
        <v>323</v>
      </c>
      <c r="F49" s="4" t="s">
        <v>102</v>
      </c>
      <c r="G49" s="4" t="s">
        <v>27</v>
      </c>
      <c r="H49" s="4" t="s">
        <v>28</v>
      </c>
      <c r="I49" s="4" t="s">
        <v>265</v>
      </c>
      <c r="J49" s="4"/>
    </row>
    <row r="50" spans="1:10" ht="44" customHeight="1">
      <c r="A50" s="4" t="s">
        <v>99</v>
      </c>
      <c r="B50" s="4" t="s">
        <v>100</v>
      </c>
      <c r="C50" s="4" t="s">
        <v>17</v>
      </c>
      <c r="D50" s="4" t="s">
        <v>103</v>
      </c>
      <c r="E50" s="4" t="s">
        <v>324</v>
      </c>
      <c r="F50" s="4" t="s">
        <v>104</v>
      </c>
      <c r="G50" s="4" t="s">
        <v>27</v>
      </c>
      <c r="H50" s="4" t="s">
        <v>28</v>
      </c>
      <c r="I50" s="4" t="s">
        <v>265</v>
      </c>
      <c r="J50" s="4"/>
    </row>
    <row r="51" spans="1:10" ht="44" customHeight="1">
      <c r="A51" s="4" t="s">
        <v>99</v>
      </c>
      <c r="B51" s="4" t="s">
        <v>100</v>
      </c>
      <c r="C51" s="4" t="s">
        <v>17</v>
      </c>
      <c r="D51" s="4" t="s">
        <v>105</v>
      </c>
      <c r="E51" s="4" t="s">
        <v>326</v>
      </c>
      <c r="F51" s="4" t="s">
        <v>106</v>
      </c>
      <c r="G51" s="4" t="s">
        <v>27</v>
      </c>
      <c r="H51" s="4" t="s">
        <v>30</v>
      </c>
      <c r="I51" s="4" t="s">
        <v>22</v>
      </c>
      <c r="J51" s="4"/>
    </row>
    <row r="52" spans="1:10" ht="44" customHeight="1">
      <c r="A52" s="4" t="s">
        <v>99</v>
      </c>
      <c r="B52" s="4" t="s">
        <v>100</v>
      </c>
      <c r="C52" s="4" t="s">
        <v>107</v>
      </c>
      <c r="D52" s="4" t="s">
        <v>108</v>
      </c>
      <c r="E52" s="4" t="s">
        <v>325</v>
      </c>
      <c r="F52" s="4" t="s">
        <v>110</v>
      </c>
      <c r="G52" s="4" t="s">
        <v>111</v>
      </c>
      <c r="H52" s="4" t="s">
        <v>21</v>
      </c>
      <c r="I52" s="4" t="s">
        <v>22</v>
      </c>
      <c r="J52" s="4"/>
    </row>
    <row r="53" spans="1:10" ht="44" customHeight="1">
      <c r="A53" s="4" t="s">
        <v>99</v>
      </c>
      <c r="B53" s="4" t="s">
        <v>100</v>
      </c>
      <c r="C53" s="4" t="s">
        <v>107</v>
      </c>
      <c r="D53" s="4" t="s">
        <v>112</v>
      </c>
      <c r="E53" s="4" t="s">
        <v>109</v>
      </c>
      <c r="F53" s="4" t="s">
        <v>113</v>
      </c>
      <c r="G53" s="4" t="s">
        <v>111</v>
      </c>
      <c r="H53" s="4" t="s">
        <v>21</v>
      </c>
      <c r="I53" s="4" t="s">
        <v>22</v>
      </c>
      <c r="J53" s="4"/>
    </row>
    <row r="54" spans="1:10" ht="44" customHeight="1">
      <c r="A54" s="4" t="s">
        <v>114</v>
      </c>
      <c r="B54" s="4" t="s">
        <v>115</v>
      </c>
      <c r="C54" s="4" t="s">
        <v>17</v>
      </c>
      <c r="D54" s="4" t="s">
        <v>116</v>
      </c>
      <c r="E54" s="4" t="s">
        <v>327</v>
      </c>
      <c r="F54" s="4" t="s">
        <v>117</v>
      </c>
      <c r="G54" s="4" t="s">
        <v>27</v>
      </c>
      <c r="H54" s="4" t="s">
        <v>28</v>
      </c>
      <c r="I54" s="4" t="s">
        <v>265</v>
      </c>
      <c r="J54" s="4"/>
    </row>
    <row r="55" spans="1:10" ht="44" customHeight="1">
      <c r="A55" s="4" t="s">
        <v>114</v>
      </c>
      <c r="B55" s="4" t="s">
        <v>115</v>
      </c>
      <c r="C55" s="4" t="s">
        <v>17</v>
      </c>
      <c r="D55" s="4" t="s">
        <v>118</v>
      </c>
      <c r="E55" s="4" t="s">
        <v>328</v>
      </c>
      <c r="F55" s="4" t="s">
        <v>119</v>
      </c>
      <c r="G55" s="4" t="s">
        <v>27</v>
      </c>
      <c r="H55" s="4" t="s">
        <v>30</v>
      </c>
      <c r="I55" s="4" t="s">
        <v>265</v>
      </c>
      <c r="J55" s="4"/>
    </row>
    <row r="56" spans="1:10" ht="44" customHeight="1">
      <c r="A56" s="4" t="s">
        <v>114</v>
      </c>
      <c r="B56" s="4" t="s">
        <v>115</v>
      </c>
      <c r="C56" s="4" t="s">
        <v>17</v>
      </c>
      <c r="D56" s="4" t="s">
        <v>120</v>
      </c>
      <c r="E56" s="4" t="s">
        <v>329</v>
      </c>
      <c r="F56" s="4" t="s">
        <v>333</v>
      </c>
      <c r="G56" s="4" t="s">
        <v>27</v>
      </c>
      <c r="H56" s="4" t="s">
        <v>28</v>
      </c>
      <c r="I56" s="4" t="s">
        <v>265</v>
      </c>
      <c r="J56" s="4"/>
    </row>
    <row r="57" spans="1:10" ht="44" customHeight="1">
      <c r="A57" s="4" t="s">
        <v>114</v>
      </c>
      <c r="B57" s="4" t="s">
        <v>115</v>
      </c>
      <c r="C57" s="4" t="s">
        <v>17</v>
      </c>
      <c r="D57" s="4" t="s">
        <v>121</v>
      </c>
      <c r="E57" s="4" t="s">
        <v>330</v>
      </c>
      <c r="F57" s="4" t="s">
        <v>122</v>
      </c>
      <c r="G57" s="4" t="s">
        <v>27</v>
      </c>
      <c r="H57" s="4" t="s">
        <v>28</v>
      </c>
      <c r="I57" s="4" t="s">
        <v>265</v>
      </c>
      <c r="J57" s="4"/>
    </row>
    <row r="58" spans="1:10" ht="44" customHeight="1">
      <c r="A58" s="4" t="s">
        <v>114</v>
      </c>
      <c r="B58" s="4" t="s">
        <v>115</v>
      </c>
      <c r="C58" s="4" t="s">
        <v>17</v>
      </c>
      <c r="D58" s="4" t="s">
        <v>123</v>
      </c>
      <c r="E58" s="4" t="s">
        <v>331</v>
      </c>
      <c r="F58" s="4" t="s">
        <v>124</v>
      </c>
      <c r="G58" s="4" t="s">
        <v>27</v>
      </c>
      <c r="H58" s="4" t="s">
        <v>28</v>
      </c>
      <c r="I58" s="4" t="s">
        <v>265</v>
      </c>
      <c r="J58" s="4"/>
    </row>
    <row r="59" spans="1:10" ht="44" customHeight="1">
      <c r="A59" s="4" t="s">
        <v>114</v>
      </c>
      <c r="B59" s="4" t="s">
        <v>115</v>
      </c>
      <c r="C59" s="4" t="s">
        <v>17</v>
      </c>
      <c r="D59" s="4" t="s">
        <v>125</v>
      </c>
      <c r="E59" s="4" t="s">
        <v>332</v>
      </c>
      <c r="F59" s="4" t="s">
        <v>126</v>
      </c>
      <c r="G59" s="4" t="s">
        <v>27</v>
      </c>
      <c r="H59" s="4" t="s">
        <v>28</v>
      </c>
      <c r="I59" s="4" t="s">
        <v>265</v>
      </c>
      <c r="J59" s="4"/>
    </row>
    <row r="60" spans="1:10" ht="44" customHeight="1">
      <c r="A60" s="4" t="s">
        <v>114</v>
      </c>
      <c r="B60" s="4" t="s">
        <v>115</v>
      </c>
      <c r="C60" s="4" t="s">
        <v>17</v>
      </c>
      <c r="D60" s="4" t="s">
        <v>127</v>
      </c>
      <c r="E60" s="4" t="s">
        <v>334</v>
      </c>
      <c r="F60" s="4" t="s">
        <v>128</v>
      </c>
      <c r="G60" s="4" t="s">
        <v>27</v>
      </c>
      <c r="H60" s="4" t="s">
        <v>28</v>
      </c>
      <c r="I60" s="4" t="s">
        <v>265</v>
      </c>
      <c r="J60" s="4"/>
    </row>
    <row r="61" spans="1:10" ht="44" customHeight="1">
      <c r="A61" s="4" t="s">
        <v>114</v>
      </c>
      <c r="B61" s="4" t="s">
        <v>115</v>
      </c>
      <c r="C61" s="4" t="s">
        <v>17</v>
      </c>
      <c r="D61" s="4" t="s">
        <v>129</v>
      </c>
      <c r="E61" s="4" t="s">
        <v>335</v>
      </c>
      <c r="F61" s="4" t="s">
        <v>130</v>
      </c>
      <c r="G61" s="4" t="s">
        <v>27</v>
      </c>
      <c r="H61" s="4" t="s">
        <v>28</v>
      </c>
      <c r="I61" s="4" t="s">
        <v>265</v>
      </c>
      <c r="J61" s="4"/>
    </row>
    <row r="62" spans="1:10" ht="44" customHeight="1">
      <c r="A62" s="4" t="s">
        <v>114</v>
      </c>
      <c r="B62" s="4" t="s">
        <v>115</v>
      </c>
      <c r="C62" s="4" t="s">
        <v>17</v>
      </c>
      <c r="D62" s="4" t="s">
        <v>131</v>
      </c>
      <c r="E62" s="4" t="s">
        <v>336</v>
      </c>
      <c r="F62" s="4" t="s">
        <v>132</v>
      </c>
      <c r="G62" s="4" t="s">
        <v>27</v>
      </c>
      <c r="H62" s="4" t="s">
        <v>28</v>
      </c>
      <c r="I62" s="4" t="s">
        <v>265</v>
      </c>
      <c r="J62" s="4"/>
    </row>
    <row r="63" spans="1:10" ht="44" customHeight="1">
      <c r="A63" s="4" t="s">
        <v>114</v>
      </c>
      <c r="B63" s="4" t="s">
        <v>115</v>
      </c>
      <c r="C63" s="4" t="s">
        <v>17</v>
      </c>
      <c r="D63" s="4" t="s">
        <v>133</v>
      </c>
      <c r="E63" s="4" t="s">
        <v>337</v>
      </c>
      <c r="F63" s="4" t="s">
        <v>134</v>
      </c>
      <c r="G63" s="4" t="s">
        <v>27</v>
      </c>
      <c r="H63" s="4" t="s">
        <v>28</v>
      </c>
      <c r="I63" s="4" t="s">
        <v>265</v>
      </c>
      <c r="J63" s="4"/>
    </row>
    <row r="64" spans="1:10" ht="44" customHeight="1">
      <c r="A64" s="4" t="s">
        <v>114</v>
      </c>
      <c r="B64" s="4" t="s">
        <v>115</v>
      </c>
      <c r="C64" s="4" t="s">
        <v>17</v>
      </c>
      <c r="D64" s="4" t="s">
        <v>135</v>
      </c>
      <c r="E64" s="4" t="s">
        <v>338</v>
      </c>
      <c r="F64" s="4" t="s">
        <v>136</v>
      </c>
      <c r="G64" s="4" t="s">
        <v>27</v>
      </c>
      <c r="H64" s="4" t="s">
        <v>28</v>
      </c>
      <c r="I64" s="4" t="s">
        <v>265</v>
      </c>
      <c r="J64" s="4"/>
    </row>
    <row r="65" spans="1:10" ht="44" customHeight="1">
      <c r="A65" s="4" t="s">
        <v>114</v>
      </c>
      <c r="B65" s="4" t="s">
        <v>115</v>
      </c>
      <c r="C65" s="4" t="s">
        <v>17</v>
      </c>
      <c r="D65" s="4" t="s">
        <v>137</v>
      </c>
      <c r="E65" s="4" t="s">
        <v>339</v>
      </c>
      <c r="F65" s="4" t="s">
        <v>138</v>
      </c>
      <c r="G65" s="4" t="s">
        <v>27</v>
      </c>
      <c r="H65" s="4" t="s">
        <v>28</v>
      </c>
      <c r="I65" s="4" t="s">
        <v>265</v>
      </c>
      <c r="J65" s="4"/>
    </row>
    <row r="66" spans="1:10" ht="44" customHeight="1">
      <c r="A66" s="4" t="s">
        <v>139</v>
      </c>
      <c r="B66" s="4" t="s">
        <v>140</v>
      </c>
      <c r="C66" s="4" t="s">
        <v>17</v>
      </c>
      <c r="D66" s="4" t="s">
        <v>141</v>
      </c>
      <c r="E66" s="4" t="s">
        <v>340</v>
      </c>
      <c r="F66" s="4" t="s">
        <v>142</v>
      </c>
      <c r="G66" s="4" t="s">
        <v>27</v>
      </c>
      <c r="H66" s="4" t="s">
        <v>28</v>
      </c>
      <c r="I66" s="4" t="s">
        <v>265</v>
      </c>
      <c r="J66" s="4"/>
    </row>
    <row r="67" spans="1:10" ht="44" customHeight="1">
      <c r="A67" s="4" t="s">
        <v>139</v>
      </c>
      <c r="B67" s="4" t="s">
        <v>140</v>
      </c>
      <c r="C67" s="4" t="s">
        <v>17</v>
      </c>
      <c r="D67" s="4" t="s">
        <v>143</v>
      </c>
      <c r="E67" s="4" t="s">
        <v>341</v>
      </c>
      <c r="F67" s="4" t="s">
        <v>144</v>
      </c>
      <c r="G67" s="4" t="s">
        <v>27</v>
      </c>
      <c r="H67" s="4" t="s">
        <v>30</v>
      </c>
      <c r="I67" s="4" t="s">
        <v>265</v>
      </c>
      <c r="J67" s="4"/>
    </row>
    <row r="68" spans="1:10" ht="44" customHeight="1">
      <c r="A68" s="4" t="s">
        <v>139</v>
      </c>
      <c r="B68" s="4" t="s">
        <v>140</v>
      </c>
      <c r="C68" s="4" t="s">
        <v>17</v>
      </c>
      <c r="D68" s="4" t="s">
        <v>145</v>
      </c>
      <c r="E68" s="4" t="s">
        <v>342</v>
      </c>
      <c r="F68" s="4" t="s">
        <v>146</v>
      </c>
      <c r="G68" s="4" t="s">
        <v>27</v>
      </c>
      <c r="H68" s="4" t="s">
        <v>28</v>
      </c>
      <c r="I68" s="4" t="s">
        <v>265</v>
      </c>
      <c r="J68" s="4"/>
    </row>
    <row r="69" spans="1:10" ht="44" customHeight="1">
      <c r="A69" s="4" t="s">
        <v>139</v>
      </c>
      <c r="B69" s="4" t="s">
        <v>140</v>
      </c>
      <c r="C69" s="4" t="s">
        <v>17</v>
      </c>
      <c r="D69" s="4" t="s">
        <v>147</v>
      </c>
      <c r="E69" s="4" t="s">
        <v>343</v>
      </c>
      <c r="F69" s="4" t="s">
        <v>148</v>
      </c>
      <c r="G69" s="4" t="s">
        <v>27</v>
      </c>
      <c r="H69" s="4" t="s">
        <v>28</v>
      </c>
      <c r="I69" s="4" t="s">
        <v>265</v>
      </c>
      <c r="J69" s="4"/>
    </row>
    <row r="70" spans="1:10" ht="44" customHeight="1">
      <c r="A70" s="4" t="s">
        <v>149</v>
      </c>
      <c r="B70" s="4" t="s">
        <v>150</v>
      </c>
      <c r="C70" s="4" t="s">
        <v>17</v>
      </c>
      <c r="D70" s="4" t="s">
        <v>151</v>
      </c>
      <c r="E70" s="4" t="s">
        <v>344</v>
      </c>
      <c r="F70" s="4" t="s">
        <v>152</v>
      </c>
      <c r="G70" s="4" t="s">
        <v>27</v>
      </c>
      <c r="H70" s="4" t="s">
        <v>28</v>
      </c>
      <c r="I70" s="4" t="s">
        <v>265</v>
      </c>
      <c r="J70" s="4"/>
    </row>
    <row r="71" spans="1:10" ht="44" customHeight="1">
      <c r="A71" s="4" t="s">
        <v>149</v>
      </c>
      <c r="B71" s="4" t="s">
        <v>150</v>
      </c>
      <c r="C71" s="4" t="s">
        <v>17</v>
      </c>
      <c r="D71" s="4" t="s">
        <v>153</v>
      </c>
      <c r="E71" s="4" t="s">
        <v>345</v>
      </c>
      <c r="F71" s="4" t="s">
        <v>154</v>
      </c>
      <c r="G71" s="4" t="s">
        <v>27</v>
      </c>
      <c r="H71" s="4" t="s">
        <v>28</v>
      </c>
      <c r="I71" s="4" t="s">
        <v>265</v>
      </c>
      <c r="J71" s="4"/>
    </row>
    <row r="72" spans="1:10" ht="44" customHeight="1">
      <c r="A72" s="4" t="s">
        <v>149</v>
      </c>
      <c r="B72" s="4" t="s">
        <v>150</v>
      </c>
      <c r="C72" s="4" t="s">
        <v>17</v>
      </c>
      <c r="D72" s="4" t="s">
        <v>155</v>
      </c>
      <c r="E72" s="4" t="s">
        <v>346</v>
      </c>
      <c r="F72" s="4" t="s">
        <v>156</v>
      </c>
      <c r="G72" s="4" t="s">
        <v>27</v>
      </c>
      <c r="H72" s="4" t="s">
        <v>28</v>
      </c>
      <c r="I72" s="4" t="s">
        <v>265</v>
      </c>
      <c r="J72" s="4"/>
    </row>
    <row r="73" spans="1:10" ht="44" customHeight="1">
      <c r="A73" s="4" t="s">
        <v>149</v>
      </c>
      <c r="B73" s="4" t="s">
        <v>150</v>
      </c>
      <c r="C73" s="4" t="s">
        <v>17</v>
      </c>
      <c r="D73" s="4" t="s">
        <v>157</v>
      </c>
      <c r="E73" s="4" t="s">
        <v>347</v>
      </c>
      <c r="F73" s="4" t="s">
        <v>158</v>
      </c>
      <c r="G73" s="4" t="s">
        <v>27</v>
      </c>
      <c r="H73" s="4" t="s">
        <v>28</v>
      </c>
      <c r="I73" s="4" t="s">
        <v>265</v>
      </c>
      <c r="J73" s="4"/>
    </row>
    <row r="74" spans="1:10" ht="44" customHeight="1">
      <c r="A74" s="4" t="s">
        <v>149</v>
      </c>
      <c r="B74" s="4" t="s">
        <v>150</v>
      </c>
      <c r="C74" s="4" t="s">
        <v>17</v>
      </c>
      <c r="D74" s="4" t="s">
        <v>159</v>
      </c>
      <c r="E74" s="4" t="s">
        <v>348</v>
      </c>
      <c r="F74" s="4" t="s">
        <v>160</v>
      </c>
      <c r="G74" s="4" t="s">
        <v>27</v>
      </c>
      <c r="H74" s="4" t="s">
        <v>28</v>
      </c>
      <c r="I74" s="4" t="s">
        <v>265</v>
      </c>
      <c r="J74" s="4"/>
    </row>
    <row r="75" spans="1:10" ht="44" customHeight="1">
      <c r="A75" s="4" t="s">
        <v>149</v>
      </c>
      <c r="B75" s="4" t="s">
        <v>150</v>
      </c>
      <c r="C75" s="4" t="s">
        <v>17</v>
      </c>
      <c r="D75" s="4" t="s">
        <v>161</v>
      </c>
      <c r="E75" s="4" t="s">
        <v>349</v>
      </c>
      <c r="F75" s="4" t="s">
        <v>162</v>
      </c>
      <c r="G75" s="4" t="s">
        <v>27</v>
      </c>
      <c r="H75" s="4" t="s">
        <v>28</v>
      </c>
      <c r="I75" s="4" t="s">
        <v>265</v>
      </c>
      <c r="J75" s="4"/>
    </row>
    <row r="76" spans="1:10" ht="44" customHeight="1">
      <c r="A76" s="4" t="s">
        <v>149</v>
      </c>
      <c r="B76" s="4" t="s">
        <v>150</v>
      </c>
      <c r="C76" s="4" t="s">
        <v>17</v>
      </c>
      <c r="D76" s="4" t="s">
        <v>163</v>
      </c>
      <c r="E76" s="4" t="s">
        <v>350</v>
      </c>
      <c r="F76" s="4" t="s">
        <v>164</v>
      </c>
      <c r="G76" s="4" t="s">
        <v>27</v>
      </c>
      <c r="H76" s="4" t="s">
        <v>30</v>
      </c>
      <c r="I76" s="4" t="s">
        <v>265</v>
      </c>
      <c r="J76" s="4"/>
    </row>
    <row r="77" spans="1:10" ht="44" customHeight="1">
      <c r="A77" s="4" t="s">
        <v>149</v>
      </c>
      <c r="B77" s="4" t="s">
        <v>150</v>
      </c>
      <c r="C77" s="4" t="s">
        <v>17</v>
      </c>
      <c r="D77" s="4" t="s">
        <v>165</v>
      </c>
      <c r="E77" s="4" t="s">
        <v>351</v>
      </c>
      <c r="F77" s="4" t="s">
        <v>166</v>
      </c>
      <c r="G77" s="4" t="s">
        <v>27</v>
      </c>
      <c r="H77" s="4" t="s">
        <v>28</v>
      </c>
      <c r="I77" s="4" t="s">
        <v>265</v>
      </c>
      <c r="J77" s="4"/>
    </row>
    <row r="78" spans="1:10" ht="44" customHeight="1">
      <c r="A78" s="4" t="s">
        <v>149</v>
      </c>
      <c r="B78" s="4" t="s">
        <v>150</v>
      </c>
      <c r="C78" s="4" t="s">
        <v>17</v>
      </c>
      <c r="D78" s="4" t="s">
        <v>167</v>
      </c>
      <c r="E78" s="4" t="s">
        <v>352</v>
      </c>
      <c r="F78" s="4" t="s">
        <v>168</v>
      </c>
      <c r="G78" s="4" t="s">
        <v>27</v>
      </c>
      <c r="H78" s="4" t="s">
        <v>30</v>
      </c>
      <c r="I78" s="4" t="s">
        <v>265</v>
      </c>
      <c r="J78" s="4"/>
    </row>
    <row r="79" spans="1:10" ht="44" customHeight="1">
      <c r="A79" s="4" t="s">
        <v>149</v>
      </c>
      <c r="B79" s="4" t="s">
        <v>150</v>
      </c>
      <c r="C79" s="4" t="s">
        <v>17</v>
      </c>
      <c r="D79" s="4" t="s">
        <v>169</v>
      </c>
      <c r="E79" s="4" t="s">
        <v>353</v>
      </c>
      <c r="F79" s="4" t="s">
        <v>354</v>
      </c>
      <c r="G79" s="4" t="s">
        <v>27</v>
      </c>
      <c r="H79" s="4" t="s">
        <v>28</v>
      </c>
      <c r="I79" s="4" t="s">
        <v>265</v>
      </c>
      <c r="J79" s="4"/>
    </row>
    <row r="80" spans="1:10" ht="44" customHeight="1">
      <c r="A80" s="4" t="s">
        <v>149</v>
      </c>
      <c r="B80" s="4" t="s">
        <v>150</v>
      </c>
      <c r="C80" s="4" t="s">
        <v>17</v>
      </c>
      <c r="D80" s="4" t="s">
        <v>170</v>
      </c>
      <c r="E80" s="4" t="s">
        <v>355</v>
      </c>
      <c r="F80" s="4" t="s">
        <v>171</v>
      </c>
      <c r="G80" s="4" t="s">
        <v>27</v>
      </c>
      <c r="H80" s="4" t="s">
        <v>28</v>
      </c>
      <c r="I80" s="4" t="s">
        <v>265</v>
      </c>
      <c r="J80" s="4"/>
    </row>
    <row r="81" spans="1:10" ht="44" customHeight="1">
      <c r="A81" s="4" t="s">
        <v>172</v>
      </c>
      <c r="B81" s="4" t="s">
        <v>173</v>
      </c>
      <c r="C81" s="4" t="s">
        <v>17</v>
      </c>
      <c r="D81" s="4" t="s">
        <v>174</v>
      </c>
      <c r="E81" s="4" t="s">
        <v>356</v>
      </c>
      <c r="F81" s="4" t="s">
        <v>175</v>
      </c>
      <c r="G81" s="4" t="s">
        <v>176</v>
      </c>
      <c r="H81" s="4" t="s">
        <v>30</v>
      </c>
      <c r="I81" s="4" t="s">
        <v>265</v>
      </c>
      <c r="J81" s="4"/>
    </row>
    <row r="82" spans="1:10" ht="44" customHeight="1">
      <c r="A82" s="4" t="s">
        <v>172</v>
      </c>
      <c r="B82" s="4" t="s">
        <v>173</v>
      </c>
      <c r="C82" s="4" t="s">
        <v>17</v>
      </c>
      <c r="D82" s="4" t="s">
        <v>177</v>
      </c>
      <c r="E82" s="4" t="s">
        <v>357</v>
      </c>
      <c r="F82" s="4" t="s">
        <v>178</v>
      </c>
      <c r="G82" s="4" t="s">
        <v>176</v>
      </c>
      <c r="H82" s="4" t="s">
        <v>30</v>
      </c>
      <c r="I82" s="4" t="s">
        <v>265</v>
      </c>
      <c r="J82" s="4"/>
    </row>
    <row r="83" spans="1:10" ht="44" customHeight="1">
      <c r="A83" s="4" t="s">
        <v>172</v>
      </c>
      <c r="B83" s="4" t="s">
        <v>173</v>
      </c>
      <c r="C83" s="4" t="s">
        <v>17</v>
      </c>
      <c r="D83" s="4" t="s">
        <v>179</v>
      </c>
      <c r="E83" s="4" t="s">
        <v>358</v>
      </c>
      <c r="F83" s="4" t="s">
        <v>180</v>
      </c>
      <c r="G83" s="4" t="s">
        <v>176</v>
      </c>
      <c r="H83" s="4" t="s">
        <v>30</v>
      </c>
      <c r="I83" s="4" t="s">
        <v>265</v>
      </c>
      <c r="J83" s="4"/>
    </row>
    <row r="84" spans="1:10" ht="44" customHeight="1">
      <c r="A84" s="4" t="s">
        <v>172</v>
      </c>
      <c r="B84" s="4" t="s">
        <v>173</v>
      </c>
      <c r="C84" s="4" t="s">
        <v>17</v>
      </c>
      <c r="D84" s="4" t="s">
        <v>181</v>
      </c>
      <c r="E84" s="4" t="s">
        <v>359</v>
      </c>
      <c r="F84" s="4" t="s">
        <v>182</v>
      </c>
      <c r="G84" s="4" t="s">
        <v>176</v>
      </c>
      <c r="H84" s="4" t="s">
        <v>30</v>
      </c>
      <c r="I84" s="4" t="s">
        <v>265</v>
      </c>
      <c r="J84" s="4"/>
    </row>
    <row r="85" spans="1:10" ht="44" customHeight="1">
      <c r="A85" s="4" t="s">
        <v>183</v>
      </c>
      <c r="B85" s="4" t="s">
        <v>184</v>
      </c>
      <c r="C85" s="4" t="s">
        <v>184</v>
      </c>
      <c r="D85" s="4" t="s">
        <v>185</v>
      </c>
      <c r="E85" s="4" t="s">
        <v>360</v>
      </c>
      <c r="F85" s="4" t="s">
        <v>186</v>
      </c>
      <c r="G85" s="4" t="s">
        <v>187</v>
      </c>
      <c r="H85" s="4" t="s">
        <v>28</v>
      </c>
      <c r="I85" s="4" t="s">
        <v>265</v>
      </c>
      <c r="J85" s="4"/>
    </row>
    <row r="86" spans="1:10" ht="44" customHeight="1">
      <c r="A86" s="4" t="s">
        <v>183</v>
      </c>
      <c r="B86" s="4" t="s">
        <v>184</v>
      </c>
      <c r="C86" s="4" t="s">
        <v>184</v>
      </c>
      <c r="D86" s="4" t="s">
        <v>188</v>
      </c>
      <c r="E86" s="4" t="s">
        <v>361</v>
      </c>
      <c r="F86" s="4" t="s">
        <v>189</v>
      </c>
      <c r="G86" s="4" t="s">
        <v>187</v>
      </c>
      <c r="H86" s="4" t="s">
        <v>28</v>
      </c>
      <c r="I86" s="4" t="s">
        <v>265</v>
      </c>
      <c r="J86" s="4"/>
    </row>
    <row r="87" spans="1:10" ht="44" customHeight="1">
      <c r="A87" s="4" t="s">
        <v>183</v>
      </c>
      <c r="B87" s="4" t="s">
        <v>184</v>
      </c>
      <c r="C87" s="4" t="s">
        <v>184</v>
      </c>
      <c r="D87" s="4" t="s">
        <v>190</v>
      </c>
      <c r="E87" s="4" t="s">
        <v>362</v>
      </c>
      <c r="F87" s="4" t="s">
        <v>191</v>
      </c>
      <c r="G87" s="4" t="s">
        <v>187</v>
      </c>
      <c r="H87" s="4" t="s">
        <v>28</v>
      </c>
      <c r="I87" s="4" t="s">
        <v>22</v>
      </c>
      <c r="J87" s="4"/>
    </row>
    <row r="88" spans="1:10" ht="44" customHeight="1">
      <c r="A88" s="4" t="s">
        <v>183</v>
      </c>
      <c r="B88" s="4" t="s">
        <v>184</v>
      </c>
      <c r="C88" s="4" t="s">
        <v>184</v>
      </c>
      <c r="D88" s="4" t="s">
        <v>192</v>
      </c>
      <c r="E88" s="4" t="s">
        <v>363</v>
      </c>
      <c r="F88" s="4" t="s">
        <v>193</v>
      </c>
      <c r="G88" s="4" t="s">
        <v>187</v>
      </c>
      <c r="H88" s="4" t="s">
        <v>28</v>
      </c>
      <c r="I88" s="4" t="s">
        <v>265</v>
      </c>
      <c r="J88" s="4"/>
    </row>
    <row r="89" spans="1:10" ht="44" customHeight="1">
      <c r="A89" s="4" t="s">
        <v>183</v>
      </c>
      <c r="B89" s="4" t="s">
        <v>184</v>
      </c>
      <c r="C89" s="4" t="s">
        <v>184</v>
      </c>
      <c r="D89" s="4" t="s">
        <v>194</v>
      </c>
      <c r="E89" s="4" t="s">
        <v>393</v>
      </c>
      <c r="F89" s="4" t="s">
        <v>195</v>
      </c>
      <c r="G89" s="4" t="s">
        <v>187</v>
      </c>
      <c r="H89" s="4" t="s">
        <v>28</v>
      </c>
      <c r="I89" s="4" t="s">
        <v>265</v>
      </c>
      <c r="J89" s="4"/>
    </row>
    <row r="90" spans="1:10" ht="44" customHeight="1">
      <c r="A90" s="4" t="s">
        <v>183</v>
      </c>
      <c r="B90" s="4" t="s">
        <v>184</v>
      </c>
      <c r="C90" s="4" t="s">
        <v>184</v>
      </c>
      <c r="D90" s="4" t="s">
        <v>196</v>
      </c>
      <c r="E90" s="4" t="s">
        <v>397</v>
      </c>
      <c r="F90" s="4" t="s">
        <v>197</v>
      </c>
      <c r="G90" s="4" t="s">
        <v>187</v>
      </c>
      <c r="H90" s="4" t="s">
        <v>28</v>
      </c>
      <c r="I90" s="4" t="s">
        <v>265</v>
      </c>
      <c r="J90" s="4"/>
    </row>
    <row r="91" spans="1:10" ht="44" customHeight="1">
      <c r="A91" s="4" t="s">
        <v>183</v>
      </c>
      <c r="B91" s="4" t="s">
        <v>184</v>
      </c>
      <c r="C91" s="4" t="s">
        <v>184</v>
      </c>
      <c r="D91" s="4" t="s">
        <v>198</v>
      </c>
      <c r="E91" s="4" t="s">
        <v>396</v>
      </c>
      <c r="F91" s="4" t="s">
        <v>199</v>
      </c>
      <c r="G91" s="4" t="s">
        <v>187</v>
      </c>
      <c r="H91" s="4" t="s">
        <v>21</v>
      </c>
      <c r="I91" s="4" t="s">
        <v>265</v>
      </c>
      <c r="J91" s="4"/>
    </row>
    <row r="92" spans="1:10" ht="44" customHeight="1">
      <c r="A92" s="4" t="s">
        <v>183</v>
      </c>
      <c r="B92" s="4" t="s">
        <v>184</v>
      </c>
      <c r="C92" s="4" t="s">
        <v>184</v>
      </c>
      <c r="D92" s="4" t="s">
        <v>200</v>
      </c>
      <c r="E92" s="4" t="s">
        <v>364</v>
      </c>
      <c r="F92" s="4" t="s">
        <v>201</v>
      </c>
      <c r="G92" s="4" t="s">
        <v>187</v>
      </c>
      <c r="H92" s="4" t="s">
        <v>28</v>
      </c>
      <c r="I92" s="4" t="s">
        <v>265</v>
      </c>
      <c r="J92" s="4"/>
    </row>
    <row r="93" spans="1:10" ht="44" customHeight="1">
      <c r="A93" s="4" t="s">
        <v>183</v>
      </c>
      <c r="B93" s="4" t="s">
        <v>184</v>
      </c>
      <c r="C93" s="4" t="s">
        <v>184</v>
      </c>
      <c r="D93" s="4" t="s">
        <v>202</v>
      </c>
      <c r="E93" s="4" t="s">
        <v>365</v>
      </c>
      <c r="F93" s="4" t="s">
        <v>203</v>
      </c>
      <c r="G93" s="4" t="s">
        <v>187</v>
      </c>
      <c r="H93" s="4" t="s">
        <v>28</v>
      </c>
      <c r="I93" s="4" t="s">
        <v>265</v>
      </c>
      <c r="J93" s="4"/>
    </row>
    <row r="94" spans="1:10" ht="44" customHeight="1">
      <c r="A94" s="4" t="s">
        <v>183</v>
      </c>
      <c r="B94" s="4" t="s">
        <v>184</v>
      </c>
      <c r="C94" s="4" t="s">
        <v>184</v>
      </c>
      <c r="D94" s="4" t="s">
        <v>204</v>
      </c>
      <c r="E94" s="4" t="s">
        <v>366</v>
      </c>
      <c r="F94" s="4" t="s">
        <v>205</v>
      </c>
      <c r="G94" s="4" t="s">
        <v>187</v>
      </c>
      <c r="H94" s="4" t="s">
        <v>28</v>
      </c>
      <c r="I94" s="4" t="s">
        <v>265</v>
      </c>
      <c r="J94" s="4"/>
    </row>
    <row r="95" spans="1:10" ht="44" customHeight="1">
      <c r="A95" s="4" t="s">
        <v>183</v>
      </c>
      <c r="B95" s="4" t="s">
        <v>184</v>
      </c>
      <c r="C95" s="4" t="s">
        <v>184</v>
      </c>
      <c r="D95" s="4" t="s">
        <v>206</v>
      </c>
      <c r="E95" s="4" t="s">
        <v>367</v>
      </c>
      <c r="F95" s="4" t="s">
        <v>207</v>
      </c>
      <c r="G95" s="4" t="s">
        <v>187</v>
      </c>
      <c r="H95" s="4" t="s">
        <v>28</v>
      </c>
      <c r="I95" s="4" t="s">
        <v>265</v>
      </c>
      <c r="J95" s="4"/>
    </row>
    <row r="96" spans="1:10" ht="44" customHeight="1">
      <c r="A96" s="4" t="s">
        <v>183</v>
      </c>
      <c r="B96" s="4" t="s">
        <v>184</v>
      </c>
      <c r="C96" s="4" t="s">
        <v>184</v>
      </c>
      <c r="D96" s="4" t="s">
        <v>153</v>
      </c>
      <c r="E96" s="4" t="s">
        <v>368</v>
      </c>
      <c r="F96" s="4" t="s">
        <v>208</v>
      </c>
      <c r="G96" s="4" t="s">
        <v>187</v>
      </c>
      <c r="H96" s="4" t="s">
        <v>28</v>
      </c>
      <c r="I96" s="4" t="s">
        <v>265</v>
      </c>
      <c r="J96" s="4"/>
    </row>
    <row r="97" spans="1:10" ht="44" customHeight="1">
      <c r="A97" s="4" t="s">
        <v>183</v>
      </c>
      <c r="B97" s="4" t="s">
        <v>184</v>
      </c>
      <c r="C97" s="4" t="s">
        <v>184</v>
      </c>
      <c r="D97" s="4" t="s">
        <v>155</v>
      </c>
      <c r="E97" s="4" t="s">
        <v>369</v>
      </c>
      <c r="F97" s="4" t="s">
        <v>209</v>
      </c>
      <c r="G97" s="4" t="s">
        <v>187</v>
      </c>
      <c r="H97" s="4" t="s">
        <v>28</v>
      </c>
      <c r="I97" s="4" t="s">
        <v>265</v>
      </c>
      <c r="J97" s="4"/>
    </row>
    <row r="98" spans="1:10" ht="44" customHeight="1">
      <c r="A98" s="4" t="s">
        <v>183</v>
      </c>
      <c r="B98" s="4" t="s">
        <v>184</v>
      </c>
      <c r="C98" s="4" t="s">
        <v>184</v>
      </c>
      <c r="D98" s="4" t="s">
        <v>210</v>
      </c>
      <c r="E98" s="4" t="s">
        <v>370</v>
      </c>
      <c r="F98" s="4" t="s">
        <v>211</v>
      </c>
      <c r="G98" s="4" t="s">
        <v>187</v>
      </c>
      <c r="H98" s="4" t="s">
        <v>28</v>
      </c>
      <c r="I98" s="4" t="s">
        <v>265</v>
      </c>
      <c r="J98" s="4"/>
    </row>
    <row r="99" spans="1:10" ht="44" customHeight="1">
      <c r="A99" s="4" t="s">
        <v>183</v>
      </c>
      <c r="B99" s="4" t="s">
        <v>184</v>
      </c>
      <c r="C99" s="4" t="s">
        <v>184</v>
      </c>
      <c r="D99" s="4" t="s">
        <v>212</v>
      </c>
      <c r="E99" s="4" t="s">
        <v>371</v>
      </c>
      <c r="F99" s="4" t="s">
        <v>213</v>
      </c>
      <c r="G99" s="4" t="s">
        <v>187</v>
      </c>
      <c r="H99" s="4" t="s">
        <v>28</v>
      </c>
      <c r="I99" s="4" t="s">
        <v>265</v>
      </c>
      <c r="J99" s="4"/>
    </row>
    <row r="100" spans="1:10" ht="44" customHeight="1">
      <c r="A100" s="4" t="s">
        <v>183</v>
      </c>
      <c r="B100" s="4" t="s">
        <v>184</v>
      </c>
      <c r="C100" s="4" t="s">
        <v>184</v>
      </c>
      <c r="D100" s="4" t="s">
        <v>214</v>
      </c>
      <c r="E100" s="4" t="s">
        <v>372</v>
      </c>
      <c r="F100" s="4" t="s">
        <v>373</v>
      </c>
      <c r="G100" s="4" t="s">
        <v>187</v>
      </c>
      <c r="H100" s="4" t="s">
        <v>28</v>
      </c>
      <c r="I100" s="4" t="s">
        <v>265</v>
      </c>
      <c r="J100" s="4"/>
    </row>
    <row r="101" spans="1:10" ht="44" customHeight="1">
      <c r="A101" s="4" t="s">
        <v>183</v>
      </c>
      <c r="B101" s="4" t="s">
        <v>184</v>
      </c>
      <c r="C101" s="4" t="s">
        <v>184</v>
      </c>
      <c r="D101" s="4" t="s">
        <v>215</v>
      </c>
      <c r="E101" s="4" t="s">
        <v>374</v>
      </c>
      <c r="F101" s="4" t="s">
        <v>216</v>
      </c>
      <c r="G101" s="4" t="s">
        <v>187</v>
      </c>
      <c r="H101" s="4" t="s">
        <v>28</v>
      </c>
      <c r="I101" s="4" t="s">
        <v>265</v>
      </c>
      <c r="J101" s="4"/>
    </row>
    <row r="102" spans="1:10" ht="44" customHeight="1">
      <c r="A102" s="4" t="s">
        <v>183</v>
      </c>
      <c r="B102" s="4" t="s">
        <v>184</v>
      </c>
      <c r="C102" s="4" t="s">
        <v>184</v>
      </c>
      <c r="D102" s="4" t="s">
        <v>217</v>
      </c>
      <c r="E102" s="4" t="s">
        <v>375</v>
      </c>
      <c r="F102" s="4" t="s">
        <v>218</v>
      </c>
      <c r="G102" s="4" t="s">
        <v>187</v>
      </c>
      <c r="H102" s="4" t="s">
        <v>28</v>
      </c>
      <c r="I102" s="4" t="s">
        <v>265</v>
      </c>
      <c r="J102" s="4"/>
    </row>
    <row r="103" spans="1:10" ht="44" customHeight="1">
      <c r="A103" s="4" t="s">
        <v>183</v>
      </c>
      <c r="B103" s="4" t="s">
        <v>184</v>
      </c>
      <c r="C103" s="4" t="s">
        <v>184</v>
      </c>
      <c r="D103" s="4" t="s">
        <v>219</v>
      </c>
      <c r="E103" s="4" t="s">
        <v>376</v>
      </c>
      <c r="F103" s="4" t="s">
        <v>220</v>
      </c>
      <c r="G103" s="4" t="s">
        <v>187</v>
      </c>
      <c r="H103" s="4" t="s">
        <v>28</v>
      </c>
      <c r="I103" s="4" t="s">
        <v>265</v>
      </c>
      <c r="J103" s="4"/>
    </row>
    <row r="104" spans="1:10" ht="44" customHeight="1">
      <c r="A104" s="4" t="s">
        <v>183</v>
      </c>
      <c r="B104" s="4" t="s">
        <v>184</v>
      </c>
      <c r="C104" s="4" t="s">
        <v>184</v>
      </c>
      <c r="D104" s="4" t="s">
        <v>221</v>
      </c>
      <c r="E104" s="4" t="s">
        <v>377</v>
      </c>
      <c r="F104" s="4" t="s">
        <v>222</v>
      </c>
      <c r="G104" s="4" t="s">
        <v>187</v>
      </c>
      <c r="H104" s="4" t="s">
        <v>28</v>
      </c>
      <c r="I104" s="4" t="s">
        <v>265</v>
      </c>
      <c r="J104" s="4"/>
    </row>
    <row r="105" spans="1:10" ht="44" customHeight="1">
      <c r="A105" s="4" t="s">
        <v>183</v>
      </c>
      <c r="B105" s="4" t="s">
        <v>184</v>
      </c>
      <c r="C105" s="4" t="s">
        <v>184</v>
      </c>
      <c r="D105" s="4" t="s">
        <v>223</v>
      </c>
      <c r="E105" s="4" t="s">
        <v>378</v>
      </c>
      <c r="F105" s="4" t="s">
        <v>224</v>
      </c>
      <c r="G105" s="4" t="s">
        <v>187</v>
      </c>
      <c r="H105" s="4" t="s">
        <v>28</v>
      </c>
      <c r="I105" s="4" t="s">
        <v>265</v>
      </c>
      <c r="J105" s="4"/>
    </row>
    <row r="106" spans="1:10" ht="44" customHeight="1">
      <c r="A106" s="4" t="s">
        <v>183</v>
      </c>
      <c r="B106" s="4" t="s">
        <v>184</v>
      </c>
      <c r="C106" s="4" t="s">
        <v>184</v>
      </c>
      <c r="D106" s="4" t="s">
        <v>225</v>
      </c>
      <c r="E106" s="4" t="s">
        <v>379</v>
      </c>
      <c r="F106" s="4" t="s">
        <v>226</v>
      </c>
      <c r="G106" s="4" t="s">
        <v>187</v>
      </c>
      <c r="H106" s="4" t="s">
        <v>28</v>
      </c>
      <c r="I106" s="4" t="s">
        <v>265</v>
      </c>
      <c r="J106" s="4"/>
    </row>
    <row r="107" spans="1:10" ht="44" customHeight="1">
      <c r="A107" s="4" t="s">
        <v>183</v>
      </c>
      <c r="B107" s="4" t="s">
        <v>184</v>
      </c>
      <c r="C107" s="4" t="s">
        <v>184</v>
      </c>
      <c r="D107" s="4" t="s">
        <v>227</v>
      </c>
      <c r="E107" s="4" t="s">
        <v>380</v>
      </c>
      <c r="F107" s="4" t="s">
        <v>228</v>
      </c>
      <c r="G107" s="4" t="s">
        <v>187</v>
      </c>
      <c r="H107" s="4" t="s">
        <v>28</v>
      </c>
      <c r="I107" s="4" t="s">
        <v>265</v>
      </c>
      <c r="J107" s="4"/>
    </row>
    <row r="108" spans="1:10" ht="44" customHeight="1">
      <c r="A108" s="4" t="s">
        <v>183</v>
      </c>
      <c r="B108" s="4" t="s">
        <v>184</v>
      </c>
      <c r="C108" s="4" t="s">
        <v>184</v>
      </c>
      <c r="D108" s="4" t="s">
        <v>229</v>
      </c>
      <c r="E108" s="4" t="s">
        <v>381</v>
      </c>
      <c r="F108" s="4" t="s">
        <v>230</v>
      </c>
      <c r="G108" s="4" t="s">
        <v>187</v>
      </c>
      <c r="H108" s="4" t="s">
        <v>28</v>
      </c>
      <c r="I108" s="4" t="s">
        <v>265</v>
      </c>
      <c r="J108" s="4"/>
    </row>
    <row r="109" spans="1:10" ht="44" customHeight="1">
      <c r="A109" s="4" t="s">
        <v>183</v>
      </c>
      <c r="B109" s="4" t="s">
        <v>184</v>
      </c>
      <c r="C109" s="4" t="s">
        <v>184</v>
      </c>
      <c r="D109" s="4" t="s">
        <v>231</v>
      </c>
      <c r="E109" s="4" t="s">
        <v>382</v>
      </c>
      <c r="F109" s="4" t="s">
        <v>232</v>
      </c>
      <c r="G109" s="4" t="s">
        <v>187</v>
      </c>
      <c r="H109" s="4" t="s">
        <v>28</v>
      </c>
      <c r="I109" s="4" t="s">
        <v>265</v>
      </c>
      <c r="J109" s="4"/>
    </row>
    <row r="110" spans="1:10" ht="44" customHeight="1">
      <c r="A110" s="4" t="s">
        <v>183</v>
      </c>
      <c r="B110" s="4" t="s">
        <v>184</v>
      </c>
      <c r="C110" s="4" t="s">
        <v>184</v>
      </c>
      <c r="D110" s="4" t="s">
        <v>233</v>
      </c>
      <c r="E110" s="4" t="s">
        <v>383</v>
      </c>
      <c r="F110" s="4" t="s">
        <v>234</v>
      </c>
      <c r="G110" s="4" t="s">
        <v>187</v>
      </c>
      <c r="H110" s="4" t="s">
        <v>28</v>
      </c>
      <c r="I110" s="4" t="s">
        <v>265</v>
      </c>
      <c r="J110" s="4"/>
    </row>
    <row r="111" spans="1:10" ht="44" customHeight="1">
      <c r="A111" s="4" t="s">
        <v>183</v>
      </c>
      <c r="B111" s="4" t="s">
        <v>184</v>
      </c>
      <c r="C111" s="4" t="s">
        <v>184</v>
      </c>
      <c r="D111" s="4" t="s">
        <v>235</v>
      </c>
      <c r="E111" s="4" t="s">
        <v>384</v>
      </c>
      <c r="F111" s="4" t="s">
        <v>236</v>
      </c>
      <c r="G111" s="4" t="s">
        <v>187</v>
      </c>
      <c r="H111" s="4" t="s">
        <v>28</v>
      </c>
      <c r="I111" s="4" t="s">
        <v>265</v>
      </c>
      <c r="J111" s="4"/>
    </row>
    <row r="112" spans="1:10" ht="44" customHeight="1">
      <c r="A112" s="4" t="s">
        <v>183</v>
      </c>
      <c r="B112" s="4" t="s">
        <v>184</v>
      </c>
      <c r="C112" s="4" t="s">
        <v>184</v>
      </c>
      <c r="D112" s="4" t="s">
        <v>237</v>
      </c>
      <c r="E112" s="4" t="s">
        <v>385</v>
      </c>
      <c r="F112" s="4" t="s">
        <v>238</v>
      </c>
      <c r="G112" s="4" t="s">
        <v>187</v>
      </c>
      <c r="H112" s="4" t="s">
        <v>28</v>
      </c>
      <c r="I112" s="4" t="s">
        <v>265</v>
      </c>
      <c r="J112" s="4"/>
    </row>
    <row r="113" spans="1:10" ht="44" customHeight="1">
      <c r="A113" s="4" t="s">
        <v>183</v>
      </c>
      <c r="B113" s="4" t="s">
        <v>184</v>
      </c>
      <c r="C113" s="4" t="s">
        <v>184</v>
      </c>
      <c r="D113" s="4" t="s">
        <v>239</v>
      </c>
      <c r="E113" s="4" t="s">
        <v>386</v>
      </c>
      <c r="F113" s="4" t="s">
        <v>240</v>
      </c>
      <c r="G113" s="4" t="s">
        <v>187</v>
      </c>
      <c r="H113" s="4" t="s">
        <v>28</v>
      </c>
      <c r="I113" s="4" t="s">
        <v>265</v>
      </c>
      <c r="J113" s="4"/>
    </row>
    <row r="114" spans="1:10" ht="44" customHeight="1">
      <c r="A114" s="4" t="s">
        <v>183</v>
      </c>
      <c r="B114" s="4" t="s">
        <v>184</v>
      </c>
      <c r="C114" s="4" t="s">
        <v>184</v>
      </c>
      <c r="D114" s="4" t="s">
        <v>241</v>
      </c>
      <c r="E114" s="4" t="s">
        <v>387</v>
      </c>
      <c r="F114" s="4" t="s">
        <v>242</v>
      </c>
      <c r="G114" s="4" t="s">
        <v>187</v>
      </c>
      <c r="H114" s="4" t="s">
        <v>28</v>
      </c>
      <c r="I114" s="4" t="s">
        <v>265</v>
      </c>
      <c r="J114" s="4"/>
    </row>
    <row r="115" spans="1:10" ht="44" customHeight="1">
      <c r="A115" s="4" t="s">
        <v>183</v>
      </c>
      <c r="B115" s="4" t="s">
        <v>184</v>
      </c>
      <c r="C115" s="4" t="s">
        <v>184</v>
      </c>
      <c r="D115" s="4" t="s">
        <v>147</v>
      </c>
      <c r="E115" s="4" t="s">
        <v>388</v>
      </c>
      <c r="F115" s="4" t="s">
        <v>243</v>
      </c>
      <c r="G115" s="4" t="s">
        <v>187</v>
      </c>
      <c r="H115" s="4" t="s">
        <v>28</v>
      </c>
      <c r="I115" s="4" t="s">
        <v>265</v>
      </c>
      <c r="J115" s="4"/>
    </row>
    <row r="116" spans="1:10" ht="44" customHeight="1">
      <c r="A116" s="4" t="s">
        <v>183</v>
      </c>
      <c r="B116" s="4" t="s">
        <v>184</v>
      </c>
      <c r="C116" s="4" t="s">
        <v>184</v>
      </c>
      <c r="D116" s="4" t="s">
        <v>244</v>
      </c>
      <c r="E116" s="4" t="s">
        <v>389</v>
      </c>
      <c r="F116" s="4" t="s">
        <v>245</v>
      </c>
      <c r="G116" s="4" t="s">
        <v>187</v>
      </c>
      <c r="H116" s="4" t="s">
        <v>28</v>
      </c>
      <c r="I116" s="4" t="s">
        <v>265</v>
      </c>
      <c r="J116" s="4"/>
    </row>
    <row r="117" spans="1:10" ht="44" customHeight="1">
      <c r="A117" s="4" t="s">
        <v>183</v>
      </c>
      <c r="B117" s="4" t="s">
        <v>184</v>
      </c>
      <c r="C117" s="4" t="s">
        <v>184</v>
      </c>
      <c r="D117" s="4" t="s">
        <v>246</v>
      </c>
      <c r="E117" s="4" t="s">
        <v>390</v>
      </c>
      <c r="F117" s="4" t="s">
        <v>247</v>
      </c>
      <c r="G117" s="4" t="s">
        <v>187</v>
      </c>
      <c r="H117" s="4" t="s">
        <v>28</v>
      </c>
      <c r="I117" s="4" t="s">
        <v>265</v>
      </c>
      <c r="J117" s="4"/>
    </row>
    <row r="118" spans="1:10" ht="44" customHeight="1">
      <c r="A118" s="4" t="s">
        <v>183</v>
      </c>
      <c r="B118" s="4" t="s">
        <v>184</v>
      </c>
      <c r="C118" s="4" t="s">
        <v>184</v>
      </c>
      <c r="D118" s="4" t="s">
        <v>248</v>
      </c>
      <c r="E118" s="4" t="s">
        <v>391</v>
      </c>
      <c r="F118" s="4" t="s">
        <v>249</v>
      </c>
      <c r="G118" s="4" t="s">
        <v>187</v>
      </c>
      <c r="H118" s="4" t="s">
        <v>28</v>
      </c>
      <c r="I118" s="4" t="s">
        <v>265</v>
      </c>
      <c r="J118" s="4"/>
    </row>
    <row r="119" spans="1:10" ht="44" customHeight="1">
      <c r="A119" s="4" t="s">
        <v>183</v>
      </c>
      <c r="B119" s="4" t="s">
        <v>184</v>
      </c>
      <c r="C119" s="4" t="s">
        <v>184</v>
      </c>
      <c r="D119" s="4" t="s">
        <v>250</v>
      </c>
      <c r="E119" s="4" t="s">
        <v>392</v>
      </c>
      <c r="F119" s="4" t="s">
        <v>251</v>
      </c>
      <c r="G119" s="4" t="s">
        <v>187</v>
      </c>
      <c r="H119" s="4" t="s">
        <v>28</v>
      </c>
      <c r="I119" s="4" t="s">
        <v>265</v>
      </c>
      <c r="J119" s="4"/>
    </row>
  </sheetData>
  <autoFilter ref="A5:J119" xr:uid="{00000000-0001-0000-0000-000000000000}"/>
  <mergeCells count="1">
    <mergeCell ref="A1:J1"/>
  </mergeCells>
  <phoneticPr fontId="7" type="noConversion"/>
  <conditionalFormatting sqref="H6:H119">
    <cfRule type="containsText" dxfId="3" priority="5" operator="containsText" text="高"/>
  </conditionalFormatting>
  <conditionalFormatting sqref="I1:I1048576">
    <cfRule type="cellIs" dxfId="2" priority="1" operator="equal">
      <formula>"已完成"</formula>
    </cfRule>
  </conditionalFormatting>
  <conditionalFormatting sqref="I6:I119">
    <cfRule type="containsText" dxfId="1" priority="3" operator="containsText" text="已完成"/>
    <cfRule type="containsText" dxfId="0" priority="4" operator="containsText" text="准备中"/>
  </conditionalFormatting>
  <dataValidations count="2">
    <dataValidation type="list" sqref="I6:I119" xr:uid="{00000000-0002-0000-0000-000000000000}">
      <formula1>"未准备,准备中,已完成"</formula1>
    </dataValidation>
    <dataValidation type="list" sqref="H6:H119" xr:uid="{00000000-0002-0000-0000-000001000000}">
      <formula1>"高,中,低"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showGridLines="0" workbookViewId="0">
      <selection activeCell="B6" sqref="B6"/>
    </sheetView>
  </sheetViews>
  <sheetFormatPr baseColWidth="10" defaultColWidth="8.83203125" defaultRowHeight="14"/>
  <cols>
    <col min="1" max="1" width="18" customWidth="1"/>
    <col min="2" max="2" width="80" customWidth="1"/>
  </cols>
  <sheetData>
    <row r="1" spans="1:6" ht="21">
      <c r="A1" s="11" t="s">
        <v>252</v>
      </c>
      <c r="B1" s="11"/>
      <c r="C1" s="11"/>
      <c r="D1" s="11"/>
      <c r="E1" s="11"/>
      <c r="F1" s="11"/>
    </row>
    <row r="3" spans="1:6" ht="34" customHeight="1">
      <c r="A3" s="5" t="s">
        <v>253</v>
      </c>
      <c r="B3" s="6" t="s">
        <v>254</v>
      </c>
    </row>
    <row r="4" spans="1:6" ht="34" customHeight="1">
      <c r="A4" s="7" t="s">
        <v>13</v>
      </c>
      <c r="B4" s="8" t="s">
        <v>255</v>
      </c>
    </row>
    <row r="5" spans="1:6" ht="34" customHeight="1">
      <c r="A5" s="7" t="s">
        <v>12</v>
      </c>
      <c r="B5" s="8" t="s">
        <v>256</v>
      </c>
    </row>
    <row r="6" spans="1:6" ht="34" customHeight="1">
      <c r="A6" s="7" t="s">
        <v>257</v>
      </c>
      <c r="B6" s="8" t="s">
        <v>261</v>
      </c>
    </row>
    <row r="7" spans="1:6" ht="34" customHeight="1">
      <c r="A7" s="7" t="s">
        <v>258</v>
      </c>
      <c r="B7" s="8" t="s">
        <v>259</v>
      </c>
    </row>
    <row r="8" spans="1:6" ht="34" customHeight="1">
      <c r="A8" s="7" t="s">
        <v>184</v>
      </c>
      <c r="B8" s="8" t="s">
        <v>260</v>
      </c>
    </row>
  </sheetData>
  <mergeCells count="1">
    <mergeCell ref="A1:F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素材清单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e29628</cp:lastModifiedBy>
  <dcterms:modified xsi:type="dcterms:W3CDTF">2026-08-18T00:22:36Z</dcterms:modified>
</cp:coreProperties>
</file>